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结论摘要" sheetId="1" state="visible" r:id="rId3"/>
    <sheet name="分类与政策变化" sheetId="2" state="visible" r:id="rId4"/>
    <sheet name="个人与法人对比" sheetId="3" state="visible" r:id="rId5"/>
    <sheet name="车龄影响" sheetId="4" state="visible" r:id="rId6"/>
    <sheet name="白俄与俄罗斯对比" sheetId="5" state="visible" r:id="rId7"/>
    <sheet name="白俄税费测算" sheetId="6" state="visible" r:id="rId8"/>
    <sheet name="俄罗斯对比测算" sheetId="7" state="visible" r:id="rId9"/>
    <sheet name="论证与来源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<sst xmlns="http://schemas.openxmlformats.org/spreadsheetml/2006/main" count="721" uniqueCount="504">
  <si>
    <r>
      <rPr>
        <b val="true"/>
        <sz val="16"/>
        <color rgb="FF1F4E78"/>
        <rFont val="WenQuanYi Zen Hei"/>
        <family val="2"/>
      </rPr>
      <t xml:space="preserve">中国增程式（</t>
    </r>
    <r>
      <rPr>
        <b val="true"/>
        <sz val="16"/>
        <color rgb="FF1F4E78"/>
        <rFont val="Arial"/>
        <family val="0"/>
        <charset val="1"/>
      </rPr>
      <t xml:space="preserve">REEV</t>
    </r>
    <r>
      <rPr>
        <b val="true"/>
        <sz val="16"/>
        <color rgb="FF1F4E78"/>
        <rFont val="WenQuanYi Zen Hei"/>
        <family val="2"/>
      </rPr>
      <t xml:space="preserve">）汽车进口白俄罗斯：关税政策专题</t>
    </r>
  </si>
  <si>
    <r>
      <rPr>
        <i val="true"/>
        <sz val="9"/>
        <color rgb="FF595959"/>
        <rFont val="WenQuanYi Zen Hei"/>
        <family val="2"/>
      </rPr>
      <t xml:space="preserve">数据截至 </t>
    </r>
    <r>
      <rPr>
        <i val="true"/>
        <sz val="9"/>
        <color rgb="FF595959"/>
        <rFont val="Arial"/>
        <family val="0"/>
        <charset val="1"/>
      </rPr>
      <t xml:space="preserve">2026-09-30</t>
    </r>
    <r>
      <rPr>
        <i val="true"/>
        <sz val="9"/>
        <color rgb="FF595959"/>
        <rFont val="WenQuanYi Zen Hei"/>
        <family val="2"/>
      </rPr>
      <t xml:space="preserve">｜范围：增程式（串联式混动）乘用车；个人与法人清关；新车与二手车车龄；与俄罗斯对比｜来源以白俄官方网站为主，每条标注来源编号（见“论证与来源”）与可信度</t>
    </r>
  </si>
  <si>
    <t xml:space="preserve">一、问题与结论</t>
  </si>
  <si>
    <t xml:space="preserve">#</t>
  </si>
  <si>
    <t xml:space="preserve">问题</t>
  </si>
  <si>
    <t xml:space="preserve">结论</t>
  </si>
  <si>
    <t xml:space="preserve">来源编号</t>
  </si>
  <si>
    <t xml:space="preserve">可信度</t>
  </si>
  <si>
    <t xml:space="preserve">增程式在白俄算什么车？</t>
  </si>
  <si>
    <r>
      <rPr>
        <sz val="10"/>
        <rFont val="WenQuanYi Zen Hei"/>
        <family val="2"/>
      </rPr>
      <t xml:space="preserve">自 </t>
    </r>
    <r>
      <rPr>
        <sz val="10"/>
        <rFont val="Arial"/>
        <family val="0"/>
        <charset val="1"/>
      </rPr>
      <t xml:space="preserve">2026-01-01 </t>
    </r>
    <r>
      <rPr>
        <sz val="10"/>
        <rFont val="WenQuanYi Zen Hei"/>
        <family val="2"/>
      </rPr>
      <t xml:space="preserve">起，增程式在联盟税则中单列为 </t>
    </r>
    <r>
      <rPr>
        <sz val="10"/>
        <rFont val="Arial"/>
        <family val="0"/>
        <charset val="1"/>
      </rPr>
      <t xml:space="preserve">8703 80 000 5</t>
    </r>
    <r>
      <rPr>
        <sz val="10"/>
        <rFont val="WenQuanYi Zen Hei"/>
        <family val="2"/>
      </rPr>
      <t xml:space="preserve">（串联式混动），纯电动车为 </t>
    </r>
    <r>
      <rPr>
        <sz val="10"/>
        <rFont val="Arial"/>
        <family val="0"/>
        <charset val="1"/>
      </rPr>
      <t xml:space="preserve">8703 80 000 3</t>
    </r>
    <r>
      <rPr>
        <sz val="10"/>
        <rFont val="WenQuanYi Zen Hei"/>
        <family val="2"/>
      </rPr>
      <t xml:space="preserve">。依据是欧亚经济委员会（</t>
    </r>
    <r>
      <rPr>
        <sz val="10"/>
        <rFont val="Arial"/>
        <family val="0"/>
        <charset val="1"/>
      </rPr>
      <t xml:space="preserve">EEC</t>
    </r>
    <r>
      <rPr>
        <sz val="10"/>
        <rFont val="WenQuanYi Zen Hei"/>
        <family val="2"/>
      </rPr>
      <t xml:space="preserve">）委员会 </t>
    </r>
    <r>
      <rPr>
        <sz val="10"/>
        <rFont val="Arial"/>
        <family val="0"/>
        <charset val="1"/>
      </rPr>
      <t xml:space="preserve">2025-09-23 </t>
    </r>
    <r>
      <rPr>
        <sz val="10"/>
        <rFont val="WenQuanYi Zen Hei"/>
        <family val="2"/>
      </rPr>
      <t xml:space="preserve">第 </t>
    </r>
    <r>
      <rPr>
        <sz val="10"/>
        <rFont val="Arial"/>
        <family val="0"/>
        <charset val="1"/>
      </rPr>
      <t xml:space="preserve">81 </t>
    </r>
    <r>
      <rPr>
        <sz val="10"/>
        <rFont val="WenQuanYi Zen Hei"/>
        <family val="2"/>
      </rPr>
      <t xml:space="preserve">号决定。“电动车”被重新定义为“仅由电动机驱动、不含任何类型混合动力装置”的车辆，所以增程式（如岚图 </t>
    </r>
    <r>
      <rPr>
        <sz val="10"/>
        <rFont val="Arial"/>
        <family val="0"/>
        <charset val="1"/>
      </rPr>
      <t xml:space="preserve">FREE</t>
    </r>
    <r>
      <rPr>
        <sz val="10"/>
        <rFont val="WenQuanYi Zen Hei"/>
        <family val="2"/>
      </rPr>
      <t xml:space="preserve">、理想）不再算电动车，不享受任何电动车优惠。</t>
    </r>
  </si>
  <si>
    <t xml:space="preserve">S01, S26, S11, S13</t>
  </si>
  <si>
    <t xml:space="preserve">高</t>
  </si>
  <si>
    <t xml:space="preserve">要交哪些税？税率多少？</t>
  </si>
  <si>
    <r>
      <rPr>
        <sz val="10"/>
        <rFont val="WenQuanYi Zen Hei"/>
        <family val="2"/>
      </rPr>
      <t xml:space="preserve">进口关税为完税价格的 </t>
    </r>
    <r>
      <rPr>
        <sz val="10"/>
        <rFont val="Arial"/>
        <family val="0"/>
        <charset val="1"/>
      </rPr>
      <t xml:space="preserve">15%</t>
    </r>
    <r>
      <rPr>
        <sz val="10"/>
        <rFont val="WenQuanYi Zen Hei"/>
        <family val="2"/>
      </rPr>
      <t xml:space="preserve">，增值税 </t>
    </r>
    <r>
      <rPr>
        <sz val="10"/>
        <rFont val="Arial"/>
        <family val="0"/>
        <charset val="1"/>
      </rPr>
      <t xml:space="preserve">20%</t>
    </r>
    <r>
      <rPr>
        <sz val="10"/>
        <rFont val="WenQuanYi Zen Hei"/>
        <family val="2"/>
      </rPr>
      <t xml:space="preserve">（税基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完税价格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关税），白俄对乘用车不征消费税，另缴报废税和海关手续费。</t>
    </r>
    <r>
      <rPr>
        <sz val="10"/>
        <rFont val="Arial"/>
        <family val="0"/>
        <charset val="1"/>
      </rPr>
      <t xml:space="preserve">2025 </t>
    </r>
    <r>
      <rPr>
        <sz val="10"/>
        <rFont val="WenQuanYi Zen Hei"/>
        <family val="2"/>
      </rPr>
      <t xml:space="preserve">年增程式还按电动车对待，可享受免关税配额和增值税减免；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年起两项都没有了，关税加增值税约为完税价格的 </t>
    </r>
    <r>
      <rPr>
        <sz val="10"/>
        <rFont val="Arial"/>
        <family val="0"/>
        <charset val="1"/>
      </rPr>
      <t xml:space="preserve">38%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1.15 × 1.20 − 1</t>
    </r>
    <r>
      <rPr>
        <sz val="10"/>
        <rFont val="WenQuanYi Zen Hei"/>
        <family val="2"/>
      </rPr>
      <t xml:space="preserve">）。</t>
    </r>
  </si>
  <si>
    <t xml:space="preserve">S13, S22, S21, S27</t>
  </si>
  <si>
    <t xml:space="preserve">个人清关和法人清关有什么不同？</t>
  </si>
  <si>
    <r>
      <rPr>
        <sz val="10"/>
        <rFont val="WenQuanYi Zen Hei"/>
        <family val="2"/>
      </rPr>
      <t xml:space="preserve">关税率和增值税率相同（</t>
    </r>
    <r>
      <rPr>
        <sz val="10"/>
        <rFont val="Arial"/>
        <family val="0"/>
        <charset val="1"/>
      </rPr>
      <t xml:space="preserve">15% + 20%</t>
    </r>
    <r>
      <rPr>
        <sz val="10"/>
        <rFont val="WenQuanYi Zen Hei"/>
        <family val="2"/>
      </rPr>
      <t xml:space="preserve">），个人按“综合海关支付”一次缴清。差别有两点：① 报废税：个人按固定金额缴纳，出厂 ≤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年 </t>
    </r>
    <r>
      <rPr>
        <sz val="10"/>
        <rFont val="Arial"/>
        <family val="0"/>
        <charset val="1"/>
      </rPr>
      <t xml:space="preserve">624.92 BYN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&gt;3 </t>
    </r>
    <r>
      <rPr>
        <sz val="10"/>
        <rFont val="WenQuanYi Zen Hei"/>
        <family val="2"/>
      </rPr>
      <t xml:space="preserve">年 </t>
    </r>
    <r>
      <rPr>
        <sz val="10"/>
        <rFont val="Arial"/>
        <family val="0"/>
        <charset val="1"/>
      </rPr>
      <t xml:space="preserve">1,282.02 BYN</t>
    </r>
    <r>
      <rPr>
        <sz val="10"/>
        <rFont val="WenQuanYi Zen Hei"/>
        <family val="2"/>
      </rPr>
      <t xml:space="preserve">，与动力类型和排量无关；法人按车辆类型和车龄分档，且混动和电动 </t>
    </r>
    <r>
      <rPr>
        <sz val="10"/>
        <rFont val="Arial"/>
        <family val="0"/>
        <charset val="1"/>
      </rPr>
      <t xml:space="preserve">M1 </t>
    </r>
    <r>
      <rPr>
        <sz val="10"/>
        <rFont val="WenQuanYi Zen Hei"/>
        <family val="2"/>
      </rPr>
      <t xml:space="preserve">类车不适用“优惠税率”（法人具体金额本次未取得）。② 增值税：法人若是增值税纳税人，进口增值税可以作进项抵扣，个人不能。此外，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年纯电动车免关税配额（个人 </t>
    </r>
    <r>
      <rPr>
        <sz val="10"/>
        <rFont val="Arial"/>
        <family val="0"/>
        <charset val="1"/>
      </rPr>
      <t xml:space="preserve">6,200 </t>
    </r>
    <r>
      <rPr>
        <sz val="10"/>
        <rFont val="WenQuanYi Zen Hei"/>
        <family val="2"/>
      </rPr>
      <t xml:space="preserve">辆、法人 </t>
    </r>
    <r>
      <rPr>
        <sz val="10"/>
        <rFont val="Arial"/>
        <family val="0"/>
        <charset val="1"/>
      </rPr>
      <t xml:space="preserve">13,800 </t>
    </r>
    <r>
      <rPr>
        <sz val="10"/>
        <rFont val="WenQuanYi Zen Hei"/>
        <family val="2"/>
      </rPr>
      <t xml:space="preserve">辆）与增程式无关，且已用完。</t>
    </r>
  </si>
  <si>
    <t xml:space="preserve">S18, S24, S19, S03, S25</t>
  </si>
  <si>
    <t xml:space="preserve">二手车的车龄会影响关税吗？</t>
  </si>
  <si>
    <r>
      <rPr>
        <sz val="10"/>
        <rFont val="WenQuanYi Zen Hei"/>
        <family val="2"/>
      </rPr>
      <t xml:space="preserve">对增程式来说，关税税率不随车龄变化：</t>
    </r>
    <r>
      <rPr>
        <sz val="10"/>
        <rFont val="Arial"/>
        <family val="0"/>
        <charset val="1"/>
      </rPr>
      <t xml:space="preserve">8703 80 000 5 </t>
    </r>
    <r>
      <rPr>
        <sz val="10"/>
        <rFont val="WenQuanYi Zen Hei"/>
        <family val="2"/>
      </rPr>
      <t xml:space="preserve">统一为 </t>
    </r>
    <r>
      <rPr>
        <sz val="10"/>
        <rFont val="Arial"/>
        <family val="0"/>
        <charset val="1"/>
      </rPr>
      <t xml:space="preserve">15% </t>
    </r>
    <r>
      <rPr>
        <sz val="10"/>
        <rFont val="WenQuanYi Zen Hei"/>
        <family val="2"/>
      </rPr>
      <t xml:space="preserve">从价，不像燃油车和并联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插电混动那样，个人进口要按车龄（≤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年、</t>
    </r>
    <r>
      <rPr>
        <sz val="10"/>
        <rFont val="Arial"/>
        <family val="0"/>
        <charset val="1"/>
      </rPr>
      <t xml:space="preserve">3–5 </t>
    </r>
    <r>
      <rPr>
        <sz val="10"/>
        <rFont val="WenQuanYi Zen Hei"/>
        <family val="2"/>
      </rPr>
      <t xml:space="preserve">年、</t>
    </r>
    <r>
      <rPr>
        <sz val="10"/>
        <rFont val="Arial"/>
        <family val="0"/>
        <charset val="1"/>
      </rPr>
      <t xml:space="preserve">&gt;5 </t>
    </r>
    <r>
      <rPr>
        <sz val="10"/>
        <rFont val="WenQuanYi Zen Hei"/>
        <family val="2"/>
      </rPr>
      <t xml:space="preserve">年）和排量套用统一税率。车龄只在三个地方起作用：① 完税价格（旧车价值低，税额按比例下降）；② 个人报废税以出厂满 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年为界，从 </t>
    </r>
    <r>
      <rPr>
        <sz val="10"/>
        <rFont val="Arial"/>
        <family val="0"/>
        <charset val="1"/>
      </rPr>
      <t xml:space="preserve">624.92 BYN </t>
    </r>
    <r>
      <rPr>
        <sz val="10"/>
        <rFont val="WenQuanYi Zen Hei"/>
        <family val="2"/>
      </rPr>
      <t xml:space="preserve">升至 </t>
    </r>
    <r>
      <rPr>
        <sz val="10"/>
        <rFont val="Arial"/>
        <family val="0"/>
        <charset val="1"/>
      </rPr>
      <t xml:space="preserve">1,282.02 BYN</t>
    </r>
    <r>
      <rPr>
        <sz val="10"/>
        <rFont val="WenQuanYi Zen Hei"/>
        <family val="2"/>
      </rPr>
      <t xml:space="preserve">；③ 纯电动车“出厂 </t>
    </r>
    <r>
      <rPr>
        <sz val="10"/>
        <rFont val="Arial"/>
        <family val="0"/>
        <charset val="1"/>
      </rPr>
      <t xml:space="preserve">5 </t>
    </r>
    <r>
      <rPr>
        <sz val="10"/>
        <rFont val="WenQuanYi Zen Hei"/>
        <family val="2"/>
      </rPr>
      <t xml:space="preserve">年内免增值税”的规定本来就不适用于增程式。</t>
    </r>
  </si>
  <si>
    <t xml:space="preserve">S26, S27, S18, S30, S31</t>
  </si>
  <si>
    <t xml:space="preserve">能否经亚美尼亚或吉尔吉斯斯坦免税进入白俄？</t>
  </si>
  <si>
    <r>
      <rPr>
        <sz val="10"/>
        <rFont val="WenQuanYi Zen Hei"/>
        <family val="2"/>
      </rPr>
      <t xml:space="preserve">不能。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年亚美尼亚、吉尔吉斯斯坦各有 </t>
    </r>
    <r>
      <rPr>
        <sz val="10"/>
        <rFont val="Arial"/>
        <family val="0"/>
        <charset val="1"/>
      </rPr>
      <t xml:space="preserve">15,000 </t>
    </r>
    <r>
      <rPr>
        <sz val="10"/>
        <rFont val="WenQuanYi Zen Hei"/>
        <family val="2"/>
      </rPr>
      <t xml:space="preserve">辆免关税配额，覆盖纯电和增程式（</t>
    </r>
    <r>
      <rPr>
        <sz val="10"/>
        <rFont val="Arial"/>
        <family val="0"/>
        <charset val="1"/>
      </rPr>
      <t xml:space="preserve">8703 80 000 5</t>
    </r>
    <r>
      <rPr>
        <sz val="10"/>
        <rFont val="WenQuanYi Zen Hei"/>
        <family val="2"/>
      </rPr>
      <t xml:space="preserve">）；但享受优惠的增程式不得把占有、使用和处置权转让给俄罗斯、哈萨克斯坦、白俄罗斯的公民或常住居民。白俄自己的 </t>
    </r>
    <r>
      <rPr>
        <sz val="10"/>
        <rFont val="Arial"/>
        <family val="0"/>
        <charset val="1"/>
      </rPr>
      <t xml:space="preserve">20,000 </t>
    </r>
    <r>
      <rPr>
        <sz val="10"/>
        <rFont val="WenQuanYi Zen Hei"/>
        <family val="2"/>
      </rPr>
      <t xml:space="preserve">辆配额只给纯电动车（</t>
    </r>
    <r>
      <rPr>
        <sz val="10"/>
        <rFont val="Arial"/>
        <family val="0"/>
        <charset val="1"/>
      </rPr>
      <t xml:space="preserve">8703 80 000 3</t>
    </r>
    <r>
      <rPr>
        <sz val="10"/>
        <rFont val="WenQuanYi Zen Hei"/>
        <family val="2"/>
      </rPr>
      <t xml:space="preserve">）。</t>
    </r>
  </si>
  <si>
    <t xml:space="preserve">S16, S23, S28</t>
  </si>
  <si>
    <t xml:space="preserve">经俄罗斯等成员国清关后再进白俄呢？</t>
  </si>
  <si>
    <r>
      <rPr>
        <sz val="10"/>
        <rFont val="WenQuanYi Zen Hei"/>
        <family val="2"/>
      </rPr>
      <t xml:space="preserve">联盟内部不再征收关税，但在白俄登记时通常仍需缴纳白俄报废税；在其他成员国已登记满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年等情形下，不适用相关条款（</t>
    </r>
    <r>
      <rPr>
        <sz val="10"/>
        <rFont val="Arial"/>
        <family val="0"/>
        <charset val="1"/>
      </rPr>
      <t xml:space="preserve">2024-11-24 </t>
    </r>
    <r>
      <rPr>
        <sz val="10"/>
        <rFont val="WenQuanYi Zen Hei"/>
        <family val="2"/>
      </rPr>
      <t xml:space="preserve">起执行，追溯至 </t>
    </r>
    <r>
      <rPr>
        <sz val="10"/>
        <rFont val="Arial"/>
        <family val="0"/>
        <charset val="1"/>
      </rPr>
      <t xml:space="preserve">2024-07-01</t>
    </r>
    <r>
      <rPr>
        <sz val="10"/>
        <rFont val="WenQuanYi Zen Hei"/>
        <family val="2"/>
      </rPr>
      <t xml:space="preserve">）。而且俄罗斯本身的税费高得多（见“白俄与俄罗斯对比”），经俄清关不划算。</t>
    </r>
  </si>
  <si>
    <t xml:space="preserve">S20, S19</t>
  </si>
  <si>
    <t xml:space="preserve">中</t>
  </si>
  <si>
    <t xml:space="preserve">与俄罗斯有什么不同？</t>
  </si>
  <si>
    <r>
      <rPr>
        <sz val="10"/>
        <rFont val="WenQuanYi Zen Hei"/>
        <family val="2"/>
      </rPr>
      <t xml:space="preserve">关税相同（联盟统一税则，增程式 </t>
    </r>
    <r>
      <rPr>
        <sz val="10"/>
        <rFont val="Arial"/>
        <family val="0"/>
        <charset val="1"/>
      </rPr>
      <t xml:space="preserve">15%</t>
    </r>
    <r>
      <rPr>
        <sz val="10"/>
        <rFont val="WenQuanYi Zen Hei"/>
        <family val="2"/>
      </rPr>
      <t xml:space="preserve">）。差别全在国内税费：① 增值税：白俄 </t>
    </r>
    <r>
      <rPr>
        <sz val="10"/>
        <rFont val="Arial"/>
        <family val="0"/>
        <charset val="1"/>
      </rPr>
      <t xml:space="preserve">20%</t>
    </r>
    <r>
      <rPr>
        <sz val="10"/>
        <rFont val="WenQuanYi Zen Hei"/>
        <family val="2"/>
      </rPr>
      <t xml:space="preserve">，俄罗斯 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年起 </t>
    </r>
    <r>
      <rPr>
        <sz val="10"/>
        <rFont val="Arial"/>
        <family val="0"/>
        <charset val="1"/>
      </rPr>
      <t xml:space="preserve">22%</t>
    </r>
    <r>
      <rPr>
        <sz val="10"/>
        <rFont val="WenQuanYi Zen Hei"/>
        <family val="2"/>
      </rPr>
      <t xml:space="preserve">；② 消费税：白俄《税法典》应税消费品清单中没有乘用车；俄罗斯按马力征收，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年为：≤</t>
    </r>
    <r>
      <rPr>
        <sz val="10"/>
        <rFont val="Arial"/>
        <family val="0"/>
        <charset val="1"/>
      </rPr>
      <t xml:space="preserve">90 </t>
    </r>
    <r>
      <rPr>
        <sz val="10"/>
        <rFont val="WenQuanYi Zen Hei"/>
        <family val="2"/>
      </rPr>
      <t xml:space="preserve">马力 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90–150 </t>
    </r>
    <r>
      <rPr>
        <sz val="10"/>
        <rFont val="WenQuanYi Zen Hei"/>
        <family val="2"/>
      </rPr>
      <t xml:space="preserve">马力 </t>
    </r>
    <r>
      <rPr>
        <sz val="10"/>
        <rFont val="Arial"/>
        <family val="0"/>
        <charset val="1"/>
      </rPr>
      <t xml:space="preserve">64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150–200 </t>
    </r>
    <r>
      <rPr>
        <sz val="10"/>
        <rFont val="WenQuanYi Zen Hei"/>
        <family val="2"/>
      </rPr>
      <t xml:space="preserve">马力 </t>
    </r>
    <r>
      <rPr>
        <sz val="10"/>
        <rFont val="Arial"/>
        <family val="0"/>
        <charset val="1"/>
      </rPr>
      <t xml:space="preserve">613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200–300 </t>
    </r>
    <r>
      <rPr>
        <sz val="10"/>
        <rFont val="WenQuanYi Zen Hei"/>
        <family val="2"/>
      </rPr>
      <t xml:space="preserve">马力 </t>
    </r>
    <r>
      <rPr>
        <sz val="10"/>
        <rFont val="Arial"/>
        <family val="0"/>
        <charset val="1"/>
      </rPr>
      <t xml:space="preserve">1004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300–400 </t>
    </r>
    <r>
      <rPr>
        <sz val="10"/>
        <rFont val="WenQuanYi Zen Hei"/>
        <family val="2"/>
      </rPr>
      <t xml:space="preserve">马力 </t>
    </r>
    <r>
      <rPr>
        <sz val="10"/>
        <rFont val="Arial"/>
        <family val="0"/>
        <charset val="1"/>
      </rPr>
      <t xml:space="preserve">1711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&gt;500 </t>
    </r>
    <r>
      <rPr>
        <sz val="10"/>
        <rFont val="WenQuanYi Zen Hei"/>
        <family val="2"/>
      </rPr>
      <t xml:space="preserve">马力 </t>
    </r>
    <r>
      <rPr>
        <sz val="10"/>
        <rFont val="Arial"/>
        <family val="0"/>
        <charset val="1"/>
      </rPr>
      <t xml:space="preserve">1829 </t>
    </r>
    <r>
      <rPr>
        <sz val="10"/>
        <rFont val="WenQuanYi Zen Hei"/>
        <family val="2"/>
      </rPr>
      <t xml:space="preserve">卢布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马力；③ 报废税：白俄个人为固定低额；俄罗斯为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万卢布基础额乘以系数（按功率、车龄），个人优惠（</t>
    </r>
    <r>
      <rPr>
        <sz val="10"/>
        <rFont val="Arial"/>
        <family val="0"/>
        <charset val="1"/>
      </rPr>
      <t xml:space="preserve">3,400 / 5,200 </t>
    </r>
    <r>
      <rPr>
        <sz val="10"/>
        <rFont val="WenQuanYi Zen Hei"/>
        <family val="2"/>
      </rPr>
      <t xml:space="preserve">卢布）对燃油车限 </t>
    </r>
    <r>
      <rPr>
        <sz val="10"/>
        <rFont val="Arial"/>
        <family val="0"/>
        <charset val="1"/>
      </rPr>
      <t xml:space="preserve">160 </t>
    </r>
    <r>
      <rPr>
        <sz val="10"/>
        <rFont val="WenQuanYi Zen Hei"/>
        <family val="2"/>
      </rPr>
      <t xml:space="preserve">马力以内，对增程式和纯电车只限 </t>
    </r>
    <r>
      <rPr>
        <sz val="10"/>
        <rFont val="Arial"/>
        <family val="0"/>
        <charset val="1"/>
      </rPr>
      <t xml:space="preserve">80 </t>
    </r>
    <r>
      <rPr>
        <sz val="10"/>
        <rFont val="WenQuanYi Zen Hei"/>
        <family val="2"/>
      </rPr>
      <t xml:space="preserve">马力以内（按电机 </t>
    </r>
    <r>
      <rPr>
        <sz val="10"/>
        <rFont val="Arial"/>
        <family val="0"/>
        <charset val="1"/>
      </rPr>
      <t xml:space="preserve">30 </t>
    </r>
    <r>
      <rPr>
        <sz val="10"/>
        <rFont val="WenQuanYi Zen Hei"/>
        <family val="2"/>
      </rPr>
      <t xml:space="preserve">分钟最大功率），所以增程车实际都按商业系数缴纳（例：理想 </t>
    </r>
    <r>
      <rPr>
        <sz val="10"/>
        <rFont val="Arial"/>
        <family val="0"/>
        <charset val="1"/>
      </rPr>
      <t xml:space="preserve">L7 </t>
    </r>
    <r>
      <rPr>
        <sz val="10"/>
        <rFont val="WenQuanYi Zen Hei"/>
        <family val="2"/>
      </rPr>
      <t xml:space="preserve">约 </t>
    </r>
    <r>
      <rPr>
        <sz val="10"/>
        <rFont val="Arial"/>
        <family val="0"/>
        <charset val="1"/>
      </rPr>
      <t xml:space="preserve">219.4 </t>
    </r>
    <r>
      <rPr>
        <sz val="10"/>
        <rFont val="WenQuanYi Zen Hei"/>
        <family val="2"/>
      </rPr>
      <t xml:space="preserve">万卢布；新车 </t>
    </r>
    <r>
      <rPr>
        <sz val="10"/>
        <rFont val="Arial"/>
        <family val="0"/>
        <charset val="1"/>
      </rPr>
      <t xml:space="preserve">&gt;205.95 </t>
    </r>
    <r>
      <rPr>
        <sz val="10"/>
        <rFont val="WenQuanYi Zen Hei"/>
        <family val="2"/>
      </rPr>
      <t xml:space="preserve">千瓦时系数 </t>
    </r>
    <r>
      <rPr>
        <sz val="10"/>
        <rFont val="Arial"/>
        <family val="0"/>
        <charset val="1"/>
      </rPr>
      <t xml:space="preserve">152</t>
    </r>
    <r>
      <rPr>
        <sz val="10"/>
        <rFont val="WenQuanYi Zen Hei"/>
        <family val="2"/>
      </rPr>
      <t xml:space="preserve">，约 </t>
    </r>
    <r>
      <rPr>
        <sz val="10"/>
        <rFont val="Arial"/>
        <family val="0"/>
        <charset val="1"/>
      </rPr>
      <t xml:space="preserve">304 </t>
    </r>
    <r>
      <rPr>
        <sz val="10"/>
        <rFont val="WenQuanYi Zen Hei"/>
        <family val="2"/>
      </rPr>
      <t xml:space="preserve">万卢布）。同一辆新增程车，在俄罗斯的税费约为白俄的 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倍以上（见“俄罗斯对比测算”）。</t>
    </r>
  </si>
  <si>
    <t xml:space="preserve">S33, S34, S39, S43, S44, S37, S46, S49</t>
  </si>
  <si>
    <t xml:space="preserve">二、使用说明</t>
  </si>
  <si>
    <r>
      <rPr>
        <sz val="10"/>
        <rFont val="Arial"/>
        <family val="0"/>
        <charset val="1"/>
      </rPr>
      <t xml:space="preserve">1. “</t>
    </r>
    <r>
      <rPr>
        <sz val="10"/>
        <rFont val="WenQuanYi Zen Hei"/>
        <family val="2"/>
      </rPr>
      <t xml:space="preserve">白俄税费测算”：可以输入新车和不同车龄二手车的完税价格，自动计算个人和法人的应缴税费；“俄罗斯对比测算”：对同一辆车估算俄罗斯的税费。</t>
    </r>
  </si>
  <si>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蓝色字体为可修改的输入值，黄色底为必须按实际填写的关键假设（汇率、法人报废税、俄罗斯报废税等），黑色为公式。</t>
    </r>
  </si>
  <si>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本专题的数据均通过搜索引擎检索白俄、俄罗斯官方网站及报关数据库的索引摘要获得（运行环境无法直接打开这些网站）。报关前请用 </t>
    </r>
    <r>
      <rPr>
        <sz val="10"/>
        <rFont val="Arial"/>
        <family val="0"/>
        <charset val="1"/>
      </rPr>
      <t xml:space="preserve">ГТК </t>
    </r>
    <r>
      <rPr>
        <sz val="10"/>
        <rFont val="WenQuanYi Zen Hei"/>
        <family val="2"/>
      </rPr>
      <t xml:space="preserve">计算器 </t>
    </r>
    <r>
      <rPr>
        <sz val="10"/>
        <rFont val="Arial"/>
        <family val="0"/>
        <charset val="1"/>
      </rPr>
      <t xml:space="preserve">customs.gov.by/calc </t>
    </r>
    <r>
      <rPr>
        <sz val="10"/>
        <rFont val="WenQuanYi Zen Hei"/>
        <family val="2"/>
      </rPr>
      <t xml:space="preserve">核实。</t>
    </r>
  </si>
  <si>
    <r>
      <rPr>
        <b val="true"/>
        <sz val="16"/>
        <color rgb="FF1F4E78"/>
        <rFont val="WenQuanYi Zen Hei"/>
        <family val="2"/>
      </rPr>
      <t xml:space="preserve">增程式的税则归类与 </t>
    </r>
    <r>
      <rPr>
        <b val="true"/>
        <sz val="16"/>
        <color rgb="FF1F4E78"/>
        <rFont val="Arial"/>
        <family val="0"/>
        <charset val="1"/>
      </rPr>
      <t xml:space="preserve">2025→2026 </t>
    </r>
    <r>
      <rPr>
        <b val="true"/>
        <sz val="16"/>
        <color rgb="FF1F4E78"/>
        <rFont val="WenQuanYi Zen Hei"/>
        <family val="2"/>
      </rPr>
      <t xml:space="preserve">政策变化</t>
    </r>
  </si>
  <si>
    <t xml:space="preserve">税则归类决定了适用哪套税费规则，这是后面所有结论的起点</t>
  </si>
  <si>
    <t xml:space="preserve">项目</t>
  </si>
  <si>
    <r>
      <rPr>
        <b val="true"/>
        <sz val="10"/>
        <color rgb="FFFFFFFF"/>
        <rFont val="Arial"/>
        <family val="0"/>
        <charset val="1"/>
      </rPr>
      <t xml:space="preserve">2025 </t>
    </r>
    <r>
      <rPr>
        <b val="true"/>
        <sz val="10"/>
        <color rgb="FFFFFFFF"/>
        <rFont val="WenQuanYi Zen Hei"/>
        <family val="2"/>
      </rPr>
      <t xml:space="preserve">年</t>
    </r>
  </si>
  <si>
    <r>
      <rPr>
        <b val="true"/>
        <sz val="10"/>
        <color rgb="FFFFFFFF"/>
        <rFont val="Arial"/>
        <family val="0"/>
        <charset val="1"/>
      </rPr>
      <t xml:space="preserve">2026 </t>
    </r>
    <r>
      <rPr>
        <b val="true"/>
        <sz val="10"/>
        <color rgb="FFFFFFFF"/>
        <rFont val="WenQuanYi Zen Hei"/>
        <family val="2"/>
      </rPr>
      <t xml:space="preserve">年起</t>
    </r>
  </si>
  <si>
    <r>
      <rPr>
        <b val="true"/>
        <sz val="10"/>
        <color rgb="FFFFFFFF"/>
        <rFont val="WenQuanYi Zen Hei"/>
        <family val="2"/>
      </rPr>
      <t xml:space="preserve">依据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说明</t>
    </r>
  </si>
  <si>
    <t xml:space="preserve">税则编码</t>
  </si>
  <si>
    <r>
      <rPr>
        <sz val="10"/>
        <rFont val="Arial"/>
        <family val="0"/>
        <charset val="1"/>
      </rPr>
      <t xml:space="preserve">2025 </t>
    </r>
    <r>
      <rPr>
        <sz val="10"/>
        <rFont val="WenQuanYi Zen Hei"/>
        <family val="2"/>
      </rPr>
      <t xml:space="preserve">年：增程式与纯电动车同在 </t>
    </r>
    <r>
      <rPr>
        <sz val="10"/>
        <rFont val="Arial"/>
        <family val="0"/>
        <charset val="1"/>
      </rPr>
      <t xml:space="preserve">8703 80 000</t>
    </r>
    <r>
      <rPr>
        <sz val="10"/>
        <rFont val="WenQuanYi Zen Hei"/>
        <family val="2"/>
      </rPr>
      <t xml:space="preserve">（仅由电动机驱动），按电动车对待</t>
    </r>
  </si>
  <si>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年起：</t>
    </r>
    <r>
      <rPr>
        <sz val="10"/>
        <rFont val="Arial"/>
        <family val="0"/>
        <charset val="1"/>
      </rPr>
      <t xml:space="preserve">8703 80 000 3 = </t>
    </r>
    <r>
      <rPr>
        <sz val="10"/>
        <rFont val="WenQuanYi Zen Hei"/>
        <family val="2"/>
      </rPr>
      <t xml:space="preserve">纯电动车；</t>
    </r>
    <r>
      <rPr>
        <sz val="10"/>
        <rFont val="Arial"/>
        <family val="0"/>
        <charset val="1"/>
      </rPr>
      <t xml:space="preserve">8703 80 000 5 = </t>
    </r>
    <r>
      <rPr>
        <sz val="10"/>
        <rFont val="WenQuanYi Zen Hei"/>
        <family val="2"/>
      </rPr>
      <t xml:space="preserve">串联式混动（增程式）</t>
    </r>
  </si>
  <si>
    <r>
      <rPr>
        <sz val="10"/>
        <rFont val="Arial"/>
        <family val="0"/>
        <charset val="1"/>
      </rPr>
      <t xml:space="preserve">EEC </t>
    </r>
    <r>
      <rPr>
        <sz val="10"/>
        <rFont val="WenQuanYi Zen Hei"/>
        <family val="2"/>
      </rPr>
      <t xml:space="preserve">委员会 </t>
    </r>
    <r>
      <rPr>
        <sz val="10"/>
        <rFont val="Arial"/>
        <family val="0"/>
        <charset val="1"/>
      </rPr>
      <t xml:space="preserve">2025-09-23 </t>
    </r>
    <r>
      <rPr>
        <sz val="10"/>
        <rFont val="WenQuanYi Zen Hei"/>
        <family val="2"/>
      </rPr>
      <t xml:space="preserve">第 </t>
    </r>
    <r>
      <rPr>
        <sz val="10"/>
        <rFont val="Arial"/>
        <family val="0"/>
        <charset val="1"/>
      </rPr>
      <t xml:space="preserve">81 </t>
    </r>
    <r>
      <rPr>
        <sz val="10"/>
        <rFont val="WenQuanYi Zen Hei"/>
        <family val="2"/>
      </rPr>
      <t xml:space="preserve">号决定新设 </t>
    </r>
    <r>
      <rPr>
        <sz val="10"/>
        <rFont val="Arial"/>
        <family val="0"/>
        <charset val="1"/>
      </rPr>
      <t xml:space="preserve">8703 80 000 3 / 4 / 5 / 8 </t>
    </r>
    <r>
      <rPr>
        <sz val="10"/>
        <rFont val="WenQuanYi Zen Hei"/>
        <family val="2"/>
      </rPr>
      <t xml:space="preserve">子目，生效不早于 </t>
    </r>
    <r>
      <rPr>
        <sz val="10"/>
        <rFont val="Arial"/>
        <family val="0"/>
        <charset val="1"/>
      </rPr>
      <t xml:space="preserve">2026-01-01</t>
    </r>
  </si>
  <si>
    <t xml:space="preserve">S01, S26</t>
  </si>
  <si>
    <t xml:space="preserve">“电动车”定义</t>
  </si>
  <si>
    <t xml:space="preserve">包括增程式</t>
  </si>
  <si>
    <r>
      <rPr>
        <sz val="10"/>
        <rFont val="Arial"/>
        <family val="0"/>
        <charset val="1"/>
      </rPr>
      <t xml:space="preserve">M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MG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N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NG </t>
    </r>
    <r>
      <rPr>
        <sz val="10"/>
        <rFont val="WenQuanYi Zen Hei"/>
        <family val="2"/>
      </rPr>
      <t xml:space="preserve">类中仅由电动机驱动、且不含任何类型混合动力装置的车辆</t>
    </r>
  </si>
  <si>
    <t xml:space="preserve">增程式带发动机和发电机，因此被排除</t>
  </si>
  <si>
    <t xml:space="preserve">S01, S13</t>
  </si>
  <si>
    <t xml:space="preserve">进口关税</t>
  </si>
  <si>
    <r>
      <rPr>
        <sz val="10"/>
        <rFont val="WenQuanYi Zen Hei"/>
        <family val="2"/>
      </rPr>
      <t xml:space="preserve">可使用白俄电动车免关税配额（</t>
    </r>
    <r>
      <rPr>
        <sz val="10"/>
        <rFont val="Arial"/>
        <family val="0"/>
        <charset val="1"/>
      </rPr>
      <t xml:space="preserve">0%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</si>
  <si>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15%</t>
    </r>
    <r>
      <rPr>
        <sz val="10"/>
        <rFont val="WenQuanYi Zen Hei"/>
        <family val="2"/>
      </rPr>
      <t xml:space="preserve">（完税价格），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年不给增程式配额</t>
    </r>
  </si>
  <si>
    <r>
      <rPr>
        <sz val="10"/>
        <rFont val="WenQuanYi Zen Hei"/>
        <family val="2"/>
      </rPr>
      <t xml:space="preserve">新设子目统一设为 </t>
    </r>
    <r>
      <rPr>
        <sz val="10"/>
        <rFont val="Arial"/>
        <family val="0"/>
        <charset val="1"/>
      </rPr>
      <t xml:space="preserve">15%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ГТК</t>
    </r>
    <r>
      <rPr>
        <sz val="10"/>
        <rFont val="WenQuanYi Zen Hei"/>
        <family val="2"/>
      </rPr>
      <t xml:space="preserve">：增程式 </t>
    </r>
    <r>
      <rPr>
        <sz val="10"/>
        <rFont val="Arial"/>
        <family val="0"/>
        <charset val="1"/>
      </rPr>
      <t xml:space="preserve">2025 </t>
    </r>
    <r>
      <rPr>
        <sz val="10"/>
        <rFont val="WenQuanYi Zen Hei"/>
        <family val="2"/>
      </rPr>
      <t xml:space="preserve">年可享受关税优惠，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年起不再享受</t>
    </r>
  </si>
  <si>
    <t xml:space="preserve">S13, S26, S27</t>
  </si>
  <si>
    <t xml:space="preserve">进口增值税</t>
  </si>
  <si>
    <r>
      <rPr>
        <sz val="10"/>
        <rFont val="WenQuanYi Zen Hei"/>
        <family val="2"/>
      </rPr>
      <t xml:space="preserve">按电动车免征（个人进口需出厂 ≤</t>
    </r>
    <r>
      <rPr>
        <sz val="10"/>
        <rFont val="Arial"/>
        <family val="0"/>
        <charset val="1"/>
      </rPr>
      <t xml:space="preserve">5 </t>
    </r>
    <r>
      <rPr>
        <sz val="10"/>
        <rFont val="WenQuanYi Zen Hei"/>
        <family val="2"/>
      </rPr>
      <t xml:space="preserve">年）</t>
    </r>
  </si>
  <si>
    <t xml:space="preserve">20%</t>
  </si>
  <si>
    <r>
      <rPr>
        <sz val="10"/>
        <rFont val="WenQuanYi Zen Hei"/>
        <family val="2"/>
      </rPr>
      <t xml:space="preserve">总统令 </t>
    </r>
    <r>
      <rPr>
        <sz val="10"/>
        <rFont val="Arial"/>
        <family val="0"/>
        <charset val="1"/>
      </rPr>
      <t xml:space="preserve">2025-12-11 </t>
    </r>
    <r>
      <rPr>
        <sz val="10"/>
        <rFont val="WenQuanYi Zen Hei"/>
        <family val="2"/>
      </rPr>
      <t xml:space="preserve">第 </t>
    </r>
    <r>
      <rPr>
        <sz val="10"/>
        <rFont val="Arial"/>
        <family val="0"/>
        <charset val="1"/>
      </rPr>
      <t xml:space="preserve">428 </t>
    </r>
    <r>
      <rPr>
        <sz val="10"/>
        <rFont val="WenQuanYi Zen Hei"/>
        <family val="2"/>
      </rPr>
      <t xml:space="preserve">号：</t>
    </r>
    <r>
      <rPr>
        <sz val="10"/>
        <rFont val="Arial"/>
        <family val="0"/>
        <charset val="1"/>
      </rPr>
      <t xml:space="preserve">2026-01-01 </t>
    </r>
    <r>
      <rPr>
        <sz val="10"/>
        <rFont val="WenQuanYi Zen Hei"/>
        <family val="2"/>
      </rPr>
      <t xml:space="preserve">起 </t>
    </r>
    <r>
      <rPr>
        <sz val="10"/>
        <rFont val="Arial"/>
        <family val="0"/>
        <charset val="1"/>
      </rPr>
      <t xml:space="preserve">0% </t>
    </r>
    <r>
      <rPr>
        <sz val="10"/>
        <rFont val="WenQuanYi Zen Hei"/>
        <family val="2"/>
      </rPr>
      <t xml:space="preserve">增值税只适用于纯电动车；</t>
    </r>
    <r>
      <rPr>
        <sz val="10"/>
        <rFont val="Arial"/>
        <family val="0"/>
        <charset val="1"/>
      </rPr>
      <t xml:space="preserve">ГТК</t>
    </r>
    <r>
      <rPr>
        <sz val="10"/>
        <rFont val="WenQuanYi Zen Hei"/>
        <family val="2"/>
      </rPr>
      <t xml:space="preserve">：个人进口任何混动车（含增程式）都按 </t>
    </r>
    <r>
      <rPr>
        <sz val="10"/>
        <rFont val="Arial"/>
        <family val="0"/>
        <charset val="1"/>
      </rPr>
      <t xml:space="preserve">20% </t>
    </r>
    <r>
      <rPr>
        <sz val="10"/>
        <rFont val="WenQuanYi Zen Hei"/>
        <family val="2"/>
      </rPr>
      <t xml:space="preserve">计算</t>
    </r>
  </si>
  <si>
    <t xml:space="preserve">S11, S02, S13</t>
  </si>
  <si>
    <t xml:space="preserve">综合影响</t>
  </si>
  <si>
    <t xml:space="preserve">—</t>
  </si>
  <si>
    <r>
      <rPr>
        <sz val="10"/>
        <rFont val="WenQuanYi Zen Hei"/>
        <family val="2"/>
      </rPr>
      <t xml:space="preserve">价格上涨约 </t>
    </r>
    <r>
      <rPr>
        <sz val="10"/>
        <rFont val="Arial"/>
        <family val="0"/>
        <charset val="1"/>
      </rPr>
      <t xml:space="preserve">38%</t>
    </r>
  </si>
  <si>
    <r>
      <rPr>
        <sz val="10"/>
        <rFont val="Arial"/>
        <family val="0"/>
        <charset val="1"/>
      </rPr>
      <t xml:space="preserve">BelTA</t>
    </r>
    <r>
      <rPr>
        <sz val="10"/>
        <rFont val="WenQuanYi Zen Hei"/>
        <family val="2"/>
      </rPr>
      <t xml:space="preserve">：取消增值税优惠 </t>
    </r>
    <r>
      <rPr>
        <sz val="10"/>
        <rFont val="Arial"/>
        <family val="0"/>
        <charset val="1"/>
      </rPr>
      <t xml:space="preserve">+20%</t>
    </r>
    <r>
      <rPr>
        <sz val="10"/>
        <rFont val="WenQuanYi Zen Hei"/>
        <family val="2"/>
      </rPr>
      <t xml:space="preserve">，不再享受配额 </t>
    </r>
    <r>
      <rPr>
        <sz val="10"/>
        <rFont val="Arial"/>
        <family val="0"/>
        <charset val="1"/>
      </rPr>
      <t xml:space="preserve">+15% </t>
    </r>
    <r>
      <rPr>
        <sz val="10"/>
        <rFont val="WenQuanYi Zen Hei"/>
        <family val="2"/>
      </rPr>
      <t xml:space="preserve">关税，合计 </t>
    </r>
    <r>
      <rPr>
        <sz val="10"/>
        <rFont val="Arial"/>
        <family val="0"/>
        <charset val="1"/>
      </rPr>
      <t xml:space="preserve">1.15 × 1.20 = 1.38</t>
    </r>
    <r>
      <rPr>
        <sz val="10"/>
        <rFont val="WenQuanYi Zen Hei"/>
        <family val="2"/>
      </rPr>
      <t xml:space="preserve">；个人和法人都受影响</t>
    </r>
  </si>
  <si>
    <t xml:space="preserve">S22, S21</t>
  </si>
  <si>
    <t xml:space="preserve">消费税</t>
  </si>
  <si>
    <t xml:space="preserve">无</t>
  </si>
  <si>
    <r>
      <rPr>
        <sz val="10"/>
        <rFont val="WenQuanYi Zen Hei"/>
        <family val="2"/>
      </rPr>
      <t xml:space="preserve">白俄《税法典》第 </t>
    </r>
    <r>
      <rPr>
        <sz val="10"/>
        <rFont val="Arial"/>
        <family val="0"/>
        <charset val="1"/>
      </rPr>
      <t xml:space="preserve">150 </t>
    </r>
    <r>
      <rPr>
        <sz val="10"/>
        <rFont val="WenQuanYi Zen Hei"/>
        <family val="2"/>
      </rPr>
      <t xml:space="preserve">条应税消费品清单中没有乘用车（与俄罗斯不同）</t>
    </r>
  </si>
  <si>
    <t xml:space="preserve">S39, S40, S22</t>
  </si>
  <si>
    <t xml:space="preserve">报废税</t>
  </si>
  <si>
    <r>
      <rPr>
        <sz val="10"/>
        <rFont val="WenQuanYi Zen Hei"/>
        <family val="2"/>
      </rPr>
      <t xml:space="preserve">个人 </t>
    </r>
    <r>
      <rPr>
        <sz val="10"/>
        <rFont val="Arial"/>
        <family val="0"/>
        <charset val="1"/>
      </rPr>
      <t xml:space="preserve">544.5 / 1,089 BYN</t>
    </r>
  </si>
  <si>
    <r>
      <rPr>
        <sz val="10"/>
        <rFont val="WenQuanYi Zen Hei"/>
        <family val="2"/>
      </rPr>
      <t xml:space="preserve">个人 </t>
    </r>
    <r>
      <rPr>
        <sz val="10"/>
        <rFont val="Arial"/>
        <family val="0"/>
        <charset val="1"/>
      </rPr>
      <t xml:space="preserve">624.92 / 1,282.02 BYN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2026-04-29 </t>
    </r>
    <r>
      <rPr>
        <sz val="10"/>
        <rFont val="WenQuanYi Zen Hei"/>
        <family val="2"/>
      </rPr>
      <t xml:space="preserve">起）</t>
    </r>
  </si>
  <si>
    <r>
      <rPr>
        <sz val="10"/>
        <rFont val="WenQuanYi Zen Hei"/>
        <family val="2"/>
      </rPr>
      <t xml:space="preserve">部长会议 </t>
    </r>
    <r>
      <rPr>
        <sz val="10"/>
        <rFont val="Arial"/>
        <family val="0"/>
        <charset val="1"/>
      </rPr>
      <t xml:space="preserve">2026-04-23 </t>
    </r>
    <r>
      <rPr>
        <sz val="10"/>
        <rFont val="WenQuanYi Zen Hei"/>
        <family val="2"/>
      </rPr>
      <t xml:space="preserve">第 </t>
    </r>
    <r>
      <rPr>
        <sz val="10"/>
        <rFont val="Arial"/>
        <family val="0"/>
        <charset val="1"/>
      </rPr>
      <t xml:space="preserve">195 </t>
    </r>
    <r>
      <rPr>
        <sz val="10"/>
        <rFont val="WenQuanYi Zen Hei"/>
        <family val="2"/>
      </rPr>
      <t xml:space="preserve">号决议，整体上调约 </t>
    </r>
    <r>
      <rPr>
        <sz val="10"/>
        <rFont val="Arial"/>
        <family val="0"/>
        <charset val="1"/>
      </rPr>
      <t xml:space="preserve">7%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M1 </t>
    </r>
    <r>
      <rPr>
        <sz val="10"/>
        <rFont val="WenQuanYi Zen Hei"/>
        <family val="2"/>
      </rPr>
      <t xml:space="preserve">类混动和电动车不适用“优惠税率”</t>
    </r>
  </si>
  <si>
    <t xml:space="preserve">S18, S24, S19</t>
  </si>
  <si>
    <t xml:space="preserve">纯电动车优惠（对照）</t>
  </si>
  <si>
    <r>
      <rPr>
        <sz val="10"/>
        <rFont val="WenQuanYi Zen Hei"/>
        <family val="2"/>
      </rPr>
      <t xml:space="preserve">关税配额 </t>
    </r>
    <r>
      <rPr>
        <sz val="10"/>
        <rFont val="Arial"/>
        <family val="0"/>
        <charset val="1"/>
      </rPr>
      <t xml:space="preserve">20,000 </t>
    </r>
    <r>
      <rPr>
        <sz val="10"/>
        <rFont val="WenQuanYi Zen Hei"/>
        <family val="2"/>
      </rPr>
      <t xml:space="preserve">辆（个人 </t>
    </r>
    <r>
      <rPr>
        <sz val="10"/>
        <rFont val="Arial"/>
        <family val="0"/>
        <charset val="1"/>
      </rPr>
      <t xml:space="preserve">6,200 / </t>
    </r>
    <r>
      <rPr>
        <sz val="10"/>
        <rFont val="WenQuanYi Zen Hei"/>
        <family val="2"/>
      </rPr>
      <t xml:space="preserve">法人 </t>
    </r>
    <r>
      <rPr>
        <sz val="10"/>
        <rFont val="Arial"/>
        <family val="0"/>
        <charset val="1"/>
      </rPr>
      <t xml:space="preserve">13,800</t>
    </r>
    <r>
      <rPr>
        <sz val="10"/>
        <rFont val="WenQuanYi Zen Hei"/>
        <family val="2"/>
      </rPr>
      <t xml:space="preserve">），</t>
    </r>
    <r>
      <rPr>
        <sz val="10"/>
        <rFont val="Arial"/>
        <family val="0"/>
        <charset val="1"/>
      </rPr>
      <t xml:space="preserve">2026-01-22 </t>
    </r>
    <r>
      <rPr>
        <sz val="10"/>
        <rFont val="WenQuanYi Zen Hei"/>
        <family val="2"/>
      </rPr>
      <t xml:space="preserve">起，已用完；增值税免征延至 </t>
    </r>
    <r>
      <rPr>
        <sz val="10"/>
        <rFont val="Arial"/>
        <family val="0"/>
        <charset val="1"/>
      </rPr>
      <t xml:space="preserve">2028-12-31</t>
    </r>
    <r>
      <rPr>
        <sz val="10"/>
        <rFont val="WenQuanYi Zen Hei"/>
        <family val="2"/>
      </rPr>
      <t xml:space="preserve">（个人为出厂 ≤</t>
    </r>
    <r>
      <rPr>
        <sz val="10"/>
        <rFont val="Arial"/>
        <family val="0"/>
        <charset val="1"/>
      </rPr>
      <t xml:space="preserve">5 </t>
    </r>
    <r>
      <rPr>
        <sz val="10"/>
        <rFont val="WenQuanYi Zen Hei"/>
        <family val="2"/>
      </rPr>
      <t xml:space="preserve">年的车）</t>
    </r>
  </si>
  <si>
    <r>
      <rPr>
        <sz val="10"/>
        <rFont val="WenQuanYi Zen Hei"/>
        <family val="2"/>
      </rPr>
      <t xml:space="preserve">只适用于 </t>
    </r>
    <r>
      <rPr>
        <sz val="10"/>
        <rFont val="Arial"/>
        <family val="0"/>
        <charset val="1"/>
      </rPr>
      <t xml:space="preserve">8703 80 000 3</t>
    </r>
    <r>
      <rPr>
        <sz val="10"/>
        <rFont val="WenQuanYi Zen Hei"/>
        <family val="2"/>
      </rPr>
      <t xml:space="preserve">，与增程式无关</t>
    </r>
  </si>
  <si>
    <t xml:space="preserve">S03, S04, S12, S17, S25</t>
  </si>
  <si>
    <t xml:space="preserve">亚美尼亚、吉尔吉斯斯坦配额（对照）</t>
  </si>
  <si>
    <r>
      <rPr>
        <sz val="10"/>
        <rFont val="WenQuanYi Zen Hei"/>
        <family val="2"/>
      </rPr>
      <t xml:space="preserve">各 </t>
    </r>
    <r>
      <rPr>
        <sz val="10"/>
        <rFont val="Arial"/>
        <family val="0"/>
        <charset val="1"/>
      </rPr>
      <t xml:space="preserve">15,000 </t>
    </r>
    <r>
      <rPr>
        <sz val="10"/>
        <rFont val="WenQuanYi Zen Hei"/>
        <family val="2"/>
      </rPr>
      <t xml:space="preserve">辆，覆盖纯电和增程式（</t>
    </r>
    <r>
      <rPr>
        <sz val="10"/>
        <rFont val="Arial"/>
        <family val="0"/>
        <charset val="1"/>
      </rPr>
      <t xml:space="preserve">8703 80 000 5</t>
    </r>
    <r>
      <rPr>
        <sz val="10"/>
        <rFont val="WenQuanYi Zen Hei"/>
        <family val="2"/>
      </rPr>
      <t xml:space="preserve">）</t>
    </r>
  </si>
  <si>
    <t xml:space="preserve">享受优惠的增程式禁止转让给白俄、俄、哈的公民或常住居民，不能作为进入白俄的通道</t>
  </si>
  <si>
    <t xml:space="preserve">增程式进口白俄：个人清关与法人清关对比</t>
  </si>
  <si>
    <t xml:space="preserve">个人指以“自用”名义、按旅客报关单申报；法人指企业商业进口（经销、租赁等）</t>
  </si>
  <si>
    <t xml:space="preserve">个人（自用）</t>
  </si>
  <si>
    <t xml:space="preserve">法人（商业进口）</t>
  </si>
  <si>
    <t xml:space="preserve">8703 80 000 5</t>
  </si>
  <si>
    <t xml:space="preserve">S01</t>
  </si>
  <si>
    <t xml:space="preserve">计税方式</t>
  </si>
  <si>
    <r>
      <rPr>
        <sz val="10"/>
        <rFont val="WenQuanYi Zen Hei"/>
        <family val="2"/>
      </rPr>
      <t xml:space="preserve">按“综合海关支付”一次缴清，含关税和增值税。由于 </t>
    </r>
    <r>
      <rPr>
        <sz val="10"/>
        <rFont val="Arial"/>
        <family val="0"/>
        <charset val="1"/>
      </rPr>
      <t xml:space="preserve">8703 80 </t>
    </r>
    <r>
      <rPr>
        <sz val="10"/>
        <rFont val="WenQuanYi Zen Hei"/>
        <family val="2"/>
      </rPr>
      <t xml:space="preserve">项下车辆不适用按排量计的个人统一税率，实际按 </t>
    </r>
    <r>
      <rPr>
        <sz val="10"/>
        <rFont val="Arial"/>
        <family val="0"/>
        <charset val="1"/>
      </rPr>
      <t xml:space="preserve">15% + 20% </t>
    </r>
    <r>
      <rPr>
        <sz val="10"/>
        <rFont val="WenQuanYi Zen Hei"/>
        <family val="2"/>
      </rPr>
      <t xml:space="preserve">计算</t>
    </r>
  </si>
  <si>
    <t xml:space="preserve">关税、增值税分别计算缴纳</t>
  </si>
  <si>
    <t xml:space="preserve">S13, S30, S32</t>
  </si>
  <si>
    <r>
      <rPr>
        <sz val="10"/>
        <rFont val="Arial"/>
        <family val="0"/>
        <charset val="1"/>
      </rPr>
      <t xml:space="preserve">15% × </t>
    </r>
    <r>
      <rPr>
        <sz val="10"/>
        <rFont val="WenQuanYi Zen Hei"/>
        <family val="2"/>
      </rPr>
      <t xml:space="preserve">完税价格</t>
    </r>
  </si>
  <si>
    <t xml:space="preserve">S26, S22</t>
  </si>
  <si>
    <t xml:space="preserve">增值税</t>
  </si>
  <si>
    <r>
      <rPr>
        <sz val="10"/>
        <rFont val="Arial"/>
        <family val="0"/>
        <charset val="1"/>
      </rPr>
      <t xml:space="preserve">20% × (</t>
    </r>
    <r>
      <rPr>
        <sz val="10"/>
        <rFont val="WenQuanYi Zen Hei"/>
        <family val="2"/>
      </rPr>
      <t xml:space="preserve">完税价格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关税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，不可抵扣</t>
    </r>
  </si>
  <si>
    <r>
      <rPr>
        <sz val="10"/>
        <rFont val="Arial"/>
        <family val="0"/>
        <charset val="1"/>
      </rPr>
      <t xml:space="preserve">20% × (</t>
    </r>
    <r>
      <rPr>
        <sz val="10"/>
        <rFont val="WenQuanYi Zen Hei"/>
        <family val="2"/>
      </rPr>
      <t xml:space="preserve">完税价格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关税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；增值税纳税人可作进项抵扣（一般税务规则）</t>
    </r>
  </si>
  <si>
    <t xml:space="preserve">S13, S11</t>
  </si>
  <si>
    <t xml:space="preserve">无（乘用车不在应税清单内）</t>
  </si>
  <si>
    <t xml:space="preserve">S39, S40</t>
  </si>
  <si>
    <r>
      <rPr>
        <sz val="10"/>
        <rFont val="WenQuanYi Zen Hei"/>
        <family val="2"/>
      </rPr>
      <t xml:space="preserve">固定金额：出厂 ≤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年 </t>
    </r>
    <r>
      <rPr>
        <sz val="10"/>
        <rFont val="Arial"/>
        <family val="0"/>
        <charset val="1"/>
      </rPr>
      <t xml:space="preserve">624.92 BYN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&gt;3 </t>
    </r>
    <r>
      <rPr>
        <sz val="10"/>
        <rFont val="WenQuanYi Zen Hei"/>
        <family val="2"/>
      </rPr>
      <t xml:space="preserve">年 </t>
    </r>
    <r>
      <rPr>
        <sz val="10"/>
        <rFont val="Arial"/>
        <family val="0"/>
        <charset val="1"/>
      </rPr>
      <t xml:space="preserve">1,282.02 BYN</t>
    </r>
    <r>
      <rPr>
        <sz val="10"/>
        <rFont val="WenQuanYi Zen Hei"/>
        <family val="2"/>
      </rPr>
      <t xml:space="preserve">（不论动力类型和排量）</t>
    </r>
  </si>
  <si>
    <r>
      <rPr>
        <sz val="10"/>
        <rFont val="WenQuanYi Zen Hei"/>
        <family val="2"/>
      </rPr>
      <t xml:space="preserve">按车辆类型和车龄分档；</t>
    </r>
    <r>
      <rPr>
        <sz val="10"/>
        <rFont val="Arial"/>
        <family val="0"/>
        <charset val="1"/>
      </rPr>
      <t xml:space="preserve">M1 </t>
    </r>
    <r>
      <rPr>
        <sz val="10"/>
        <rFont val="WenQuanYi Zen Hei"/>
        <family val="2"/>
      </rPr>
      <t xml:space="preserve">类混动和电动车不适用“优惠税率”；具体金额本次未取得，需查部长会议第 </t>
    </r>
    <r>
      <rPr>
        <sz val="10"/>
        <rFont val="Arial"/>
        <family val="0"/>
        <charset val="1"/>
      </rPr>
      <t xml:space="preserve">195 </t>
    </r>
    <r>
      <rPr>
        <sz val="10"/>
        <rFont val="WenQuanYi Zen Hei"/>
        <family val="2"/>
      </rPr>
      <t xml:space="preserve">号决议或 </t>
    </r>
    <r>
      <rPr>
        <sz val="10"/>
        <rFont val="Arial"/>
        <family val="0"/>
        <charset val="1"/>
      </rPr>
      <t xml:space="preserve">ГТК</t>
    </r>
  </si>
  <si>
    <t xml:space="preserve">S18, S24, S19, S06</t>
  </si>
  <si>
    <t xml:space="preserve">海关手续费</t>
  </si>
  <si>
    <r>
      <rPr>
        <sz val="10"/>
        <rFont val="WenQuanYi Zen Hei"/>
        <family val="2"/>
      </rPr>
      <t xml:space="preserve">按总统令第 </t>
    </r>
    <r>
      <rPr>
        <sz val="10"/>
        <rFont val="Arial"/>
        <family val="0"/>
        <charset val="1"/>
      </rPr>
      <t xml:space="preserve">443 </t>
    </r>
    <r>
      <rPr>
        <sz val="10"/>
        <rFont val="WenQuanYi Zen Hei"/>
        <family val="2"/>
      </rPr>
      <t xml:space="preserve">号</t>
    </r>
  </si>
  <si>
    <t xml:space="preserve">S09</t>
  </si>
  <si>
    <t xml:space="preserve">电动车免关税配额</t>
  </si>
  <si>
    <r>
      <rPr>
        <sz val="10"/>
        <rFont val="WenQuanYi Zen Hei"/>
        <family val="2"/>
      </rPr>
      <t xml:space="preserve">不适用（配额只给纯电动车，个人 </t>
    </r>
    <r>
      <rPr>
        <sz val="10"/>
        <rFont val="Arial"/>
        <family val="0"/>
        <charset val="1"/>
      </rPr>
      <t xml:space="preserve">6,200 </t>
    </r>
    <r>
      <rPr>
        <sz val="10"/>
        <rFont val="WenQuanYi Zen Hei"/>
        <family val="2"/>
      </rPr>
      <t xml:space="preserve">辆，已用完）</t>
    </r>
  </si>
  <si>
    <r>
      <rPr>
        <sz val="10"/>
        <rFont val="WenQuanYi Zen Hei"/>
        <family val="2"/>
      </rPr>
      <t xml:space="preserve">不适用（配额只给纯电动车，法人 </t>
    </r>
    <r>
      <rPr>
        <sz val="10"/>
        <rFont val="Arial"/>
        <family val="0"/>
        <charset val="1"/>
      </rPr>
      <t xml:space="preserve">13,800 </t>
    </r>
    <r>
      <rPr>
        <sz val="10"/>
        <rFont val="WenQuanYi Zen Hei"/>
        <family val="2"/>
      </rPr>
      <t xml:space="preserve">辆，已用完）</t>
    </r>
  </si>
  <si>
    <t xml:space="preserve">S03, S25</t>
  </si>
  <si>
    <t xml:space="preserve">增值税减免</t>
  </si>
  <si>
    <r>
      <rPr>
        <sz val="10"/>
        <rFont val="WenQuanYi Zen Hei"/>
        <family val="2"/>
      </rPr>
      <t xml:space="preserve">不适用（纯电动车出厂 ≤</t>
    </r>
    <r>
      <rPr>
        <sz val="10"/>
        <rFont val="Arial"/>
        <family val="0"/>
        <charset val="1"/>
      </rPr>
      <t xml:space="preserve">5 </t>
    </r>
    <r>
      <rPr>
        <sz val="10"/>
        <rFont val="WenQuanYi Zen Hei"/>
        <family val="2"/>
      </rPr>
      <t xml:space="preserve">年才免）</t>
    </r>
  </si>
  <si>
    <r>
      <rPr>
        <sz val="10"/>
        <rFont val="WenQuanYi Zen Hei"/>
        <family val="2"/>
      </rPr>
      <t xml:space="preserve">不适用（法人纯电动车免增值税至 </t>
    </r>
    <r>
      <rPr>
        <sz val="10"/>
        <rFont val="Arial"/>
        <family val="0"/>
        <charset val="1"/>
      </rPr>
      <t xml:space="preserve">2028-12-31</t>
    </r>
    <r>
      <rPr>
        <sz val="10"/>
        <rFont val="WenQuanYi Zen Hei"/>
        <family val="2"/>
      </rPr>
      <t xml:space="preserve">）</t>
    </r>
  </si>
  <si>
    <t xml:space="preserve">S11, S12</t>
  </si>
  <si>
    <t xml:space="preserve">转让限制</t>
  </si>
  <si>
    <r>
      <rPr>
        <sz val="10"/>
        <rFont val="WenQuanYi Zen Hei"/>
        <family val="2"/>
      </rPr>
      <t xml:space="preserve">增程式不享受优惠，因此不受电动车优惠附带的 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年转让限制</t>
    </r>
  </si>
  <si>
    <t xml:space="preserve">S13, S29</t>
  </si>
  <si>
    <t xml:space="preserve">关税加增值税合计（占完税价格）</t>
  </si>
  <si>
    <t xml:space="preserve">38%</t>
  </si>
  <si>
    <r>
      <rPr>
        <sz val="10"/>
        <rFont val="Arial"/>
        <family val="0"/>
        <charset val="1"/>
      </rPr>
      <t xml:space="preserve">38%</t>
    </r>
    <r>
      <rPr>
        <sz val="10"/>
        <rFont val="WenQuanYi Zen Hei"/>
        <family val="2"/>
      </rPr>
      <t xml:space="preserve">（抵扣进项后，法人实际负担约 </t>
    </r>
    <r>
      <rPr>
        <sz val="10"/>
        <rFont val="Arial"/>
        <family val="0"/>
        <charset val="1"/>
      </rPr>
      <t xml:space="preserve">15% </t>
    </r>
    <r>
      <rPr>
        <sz val="10"/>
        <rFont val="WenQuanYi Zen Hei"/>
        <family val="2"/>
      </rPr>
      <t xml:space="preserve">加报废税等）</t>
    </r>
  </si>
  <si>
    <t xml:space="preserve">S22</t>
  </si>
  <si>
    <t xml:space="preserve">提示：法人进口新车还涉及车型认证等技术合规要求，不在本次“关税”研究范围内。</t>
  </si>
  <si>
    <t xml:space="preserve">二手车车龄对清关税费的影响</t>
  </si>
  <si>
    <r>
      <rPr>
        <i val="true"/>
        <sz val="9"/>
        <color rgb="FF595959"/>
        <rFont val="WenQuanYi Zen Hei"/>
        <family val="2"/>
      </rPr>
      <t xml:space="preserve">“车龄”按出厂日期（</t>
    </r>
    <r>
      <rPr>
        <i val="true"/>
        <sz val="9"/>
        <color rgb="FF595959"/>
        <rFont val="Arial"/>
        <family val="0"/>
        <charset val="1"/>
      </rPr>
      <t xml:space="preserve">с даты выпуска</t>
    </r>
    <r>
      <rPr>
        <i val="true"/>
        <sz val="9"/>
        <color rgb="FF595959"/>
        <rFont val="WenQuanYi Zen Hei"/>
        <family val="2"/>
      </rPr>
      <t xml:space="preserve">）至报关日计算；表中对比增程式与燃油车或并联混动的不同</t>
    </r>
  </si>
  <si>
    <r>
      <rPr>
        <b val="true"/>
        <sz val="11"/>
        <color rgb="FF1F4E78"/>
        <rFont val="WenQuanYi Zen Hei"/>
        <family val="2"/>
      </rPr>
      <t xml:space="preserve">一、增程式（</t>
    </r>
    <r>
      <rPr>
        <b val="true"/>
        <sz val="11"/>
        <color rgb="FF1F4E78"/>
        <rFont val="Arial"/>
        <family val="0"/>
        <charset val="1"/>
      </rPr>
      <t xml:space="preserve">8703 80 000 5</t>
    </r>
    <r>
      <rPr>
        <b val="true"/>
        <sz val="11"/>
        <color rgb="FF1F4E78"/>
        <rFont val="WenQuanYi Zen Hei"/>
        <family val="2"/>
      </rPr>
      <t xml:space="preserve">）在白俄</t>
    </r>
  </si>
  <si>
    <r>
      <rPr>
        <b val="true"/>
        <sz val="10"/>
        <color rgb="FFFFFFFF"/>
        <rFont val="WenQuanYi Zen Hei"/>
        <family val="2"/>
      </rPr>
      <t xml:space="preserve">出厂 ≤</t>
    </r>
    <r>
      <rPr>
        <b val="true"/>
        <sz val="10"/>
        <color rgb="FFFFFFFF"/>
        <rFont val="Arial"/>
        <family val="0"/>
        <charset val="1"/>
      </rPr>
      <t xml:space="preserve">3 </t>
    </r>
    <r>
      <rPr>
        <b val="true"/>
        <sz val="10"/>
        <color rgb="FFFFFFFF"/>
        <rFont val="WenQuanYi Zen Hei"/>
        <family val="2"/>
      </rPr>
      <t xml:space="preserve">年</t>
    </r>
  </si>
  <si>
    <r>
      <rPr>
        <b val="true"/>
        <sz val="10"/>
        <color rgb="FFFFFFFF"/>
        <rFont val="Arial"/>
        <family val="0"/>
        <charset val="1"/>
      </rPr>
      <t xml:space="preserve">3–5 </t>
    </r>
    <r>
      <rPr>
        <b val="true"/>
        <sz val="10"/>
        <color rgb="FFFFFFFF"/>
        <rFont val="WenQuanYi Zen Hei"/>
        <family val="2"/>
      </rPr>
      <t xml:space="preserve">年</t>
    </r>
  </si>
  <si>
    <r>
      <rPr>
        <b val="true"/>
        <sz val="10"/>
        <color rgb="FFFFFFFF"/>
        <rFont val="Arial"/>
        <family val="0"/>
        <charset val="1"/>
      </rPr>
      <t xml:space="preserve">&gt;5 </t>
    </r>
    <r>
      <rPr>
        <b val="true"/>
        <sz val="10"/>
        <color rgb="FFFFFFFF"/>
        <rFont val="WenQuanYi Zen Hei"/>
        <family val="2"/>
      </rPr>
      <t xml:space="preserve">年</t>
    </r>
  </si>
  <si>
    <t xml:space="preserve">说明</t>
  </si>
  <si>
    <r>
      <rPr>
        <sz val="10"/>
        <rFont val="WenQuanYi Zen Hei"/>
        <family val="2"/>
      </rPr>
      <t xml:space="preserve">进口关税（个人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法人）</t>
    </r>
  </si>
  <si>
    <t xml:space="preserve">15%</t>
  </si>
  <si>
    <t xml:space="preserve">不按车龄分档，车龄不改变税率</t>
  </si>
  <si>
    <t xml:space="preserve">S26, S27</t>
  </si>
  <si>
    <r>
      <rPr>
        <sz val="10"/>
        <rFont val="WenQuanYi Zen Hei"/>
        <family val="2"/>
      </rPr>
      <t xml:space="preserve">增值税（个人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法人）</t>
    </r>
  </si>
  <si>
    <t xml:space="preserve">不按车龄分档</t>
  </si>
  <si>
    <t xml:space="preserve">S13</t>
  </si>
  <si>
    <t xml:space="preserve">完税价格</t>
  </si>
  <si>
    <t xml:space="preserve">成交价（新车最高）</t>
  </si>
  <si>
    <t xml:space="preserve">随折旧降低</t>
  </si>
  <si>
    <t xml:space="preserve">进一步降低</t>
  </si>
  <si>
    <r>
      <rPr>
        <sz val="10"/>
        <rFont val="WenQuanYi Zen Hei"/>
        <family val="2"/>
      </rPr>
      <t xml:space="preserve">税额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税率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完税价格，旧车税额按价值同比下降；海关可对申报价格进行核查</t>
    </r>
  </si>
  <si>
    <t xml:space="preserve">个人报废税</t>
  </si>
  <si>
    <t xml:space="preserve">624.92 BYN</t>
  </si>
  <si>
    <t xml:space="preserve">1,282.02 BYN</t>
  </si>
  <si>
    <r>
      <rPr>
        <sz val="10"/>
        <rFont val="WenQuanYi Zen Hei"/>
        <family val="2"/>
      </rPr>
      <t xml:space="preserve">以出厂满 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年为界，约翻倍</t>
    </r>
  </si>
  <si>
    <t xml:space="preserve">S18, S24</t>
  </si>
  <si>
    <t xml:space="preserve">法人报废税</t>
  </si>
  <si>
    <t xml:space="preserve">按类型和车龄分档</t>
  </si>
  <si>
    <t xml:space="preserve">具体金额本次未取得</t>
  </si>
  <si>
    <t xml:space="preserve">S06, S18</t>
  </si>
  <si>
    <r>
      <rPr>
        <sz val="10"/>
        <rFont val="WenQuanYi Zen Hei"/>
        <family val="2"/>
      </rPr>
      <t xml:space="preserve">纯电动车“出厂 </t>
    </r>
    <r>
      <rPr>
        <sz val="10"/>
        <rFont val="Arial"/>
        <family val="0"/>
        <charset val="1"/>
      </rPr>
      <t xml:space="preserve">5 </t>
    </r>
    <r>
      <rPr>
        <sz val="10"/>
        <rFont val="WenQuanYi Zen Hei"/>
        <family val="2"/>
      </rPr>
      <t xml:space="preserve">年内免增值税”</t>
    </r>
  </si>
  <si>
    <t xml:space="preserve">不适用</t>
  </si>
  <si>
    <r>
      <rPr>
        <sz val="10"/>
        <rFont val="WenQuanYi Zen Hei"/>
        <family val="2"/>
      </rPr>
      <t xml:space="preserve">只适用于纯电动车 </t>
    </r>
    <r>
      <rPr>
        <sz val="10"/>
        <rFont val="Arial"/>
        <family val="0"/>
        <charset val="1"/>
      </rPr>
      <t xml:space="preserve">8703 80 000 3</t>
    </r>
  </si>
  <si>
    <t xml:space="preserve">S11, S25</t>
  </si>
  <si>
    <r>
      <rPr>
        <b val="true"/>
        <sz val="11"/>
        <color rgb="FF1F4E78"/>
        <rFont val="WenQuanYi Zen Hei"/>
        <family val="2"/>
      </rPr>
      <t xml:space="preserve">二、对照：燃油车和并联</t>
    </r>
    <r>
      <rPr>
        <b val="true"/>
        <sz val="11"/>
        <color rgb="FF1F4E78"/>
        <rFont val="Arial"/>
        <family val="0"/>
        <charset val="1"/>
      </rPr>
      <t xml:space="preserve">/</t>
    </r>
    <r>
      <rPr>
        <b val="true"/>
        <sz val="11"/>
        <color rgb="FF1F4E78"/>
        <rFont val="WenQuanYi Zen Hei"/>
        <family val="2"/>
      </rPr>
      <t xml:space="preserve">插电混动（个人进口）</t>
    </r>
  </si>
  <si>
    <t xml:space="preserve">个人统一税率（综合海关支付）</t>
  </si>
  <si>
    <t xml:space="preserve">按完税价格的一定比例，且不低于每立方厘米最低额</t>
  </si>
  <si>
    <t xml:space="preserve">按排量每立方厘米若干欧元</t>
  </si>
  <si>
    <r>
      <rPr>
        <sz val="10"/>
        <rFont val="WenQuanYi Zen Hei"/>
        <family val="2"/>
      </rPr>
      <t xml:space="preserve">按排量每立方厘米若干欧元（高于 </t>
    </r>
    <r>
      <rPr>
        <sz val="10"/>
        <rFont val="Arial"/>
        <family val="0"/>
        <charset val="1"/>
      </rPr>
      <t xml:space="preserve">3–5 </t>
    </r>
    <r>
      <rPr>
        <sz val="10"/>
        <rFont val="WenQuanYi Zen Hei"/>
        <family val="2"/>
      </rPr>
      <t xml:space="preserve">年档）</t>
    </r>
  </si>
  <si>
    <r>
      <rPr>
        <sz val="10"/>
        <rFont val="WenQuanYi Zen Hei"/>
        <family val="2"/>
      </rPr>
      <t xml:space="preserve">车龄和排量对税费影响很大；具体税额见 </t>
    </r>
    <r>
      <rPr>
        <sz val="10"/>
        <rFont val="Arial"/>
        <family val="0"/>
        <charset val="1"/>
      </rPr>
      <t xml:space="preserve">EEC </t>
    </r>
    <r>
      <rPr>
        <sz val="10"/>
        <rFont val="WenQuanYi Zen Hei"/>
        <family val="2"/>
      </rPr>
      <t xml:space="preserve">理事会第 </t>
    </r>
    <r>
      <rPr>
        <sz val="10"/>
        <rFont val="Arial"/>
        <family val="0"/>
        <charset val="1"/>
      </rPr>
      <t xml:space="preserve">107 </t>
    </r>
    <r>
      <rPr>
        <sz val="10"/>
        <rFont val="WenQuanYi Zen Hei"/>
        <family val="2"/>
      </rPr>
      <t xml:space="preserve">号决定附件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表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（本次未逐项取得）</t>
    </r>
  </si>
  <si>
    <t xml:space="preserve">S30, S31, S32</t>
  </si>
  <si>
    <t xml:space="preserve">三、增程式在俄罗斯（对照）</t>
  </si>
  <si>
    <t xml:space="preserve">与白俄相同（联盟统一税则）</t>
  </si>
  <si>
    <t xml:space="preserve">S26</t>
  </si>
  <si>
    <t xml:space="preserve">按功率、车龄分档（商业税率）</t>
  </si>
  <si>
    <t xml:space="preserve">更高系数</t>
  </si>
  <si>
    <r>
      <rPr>
        <sz val="10"/>
        <rFont val="Arial"/>
        <family val="0"/>
        <charset val="1"/>
      </rPr>
      <t xml:space="preserve">2025-12-01 </t>
    </r>
    <r>
      <rPr>
        <sz val="10"/>
        <rFont val="WenQuanYi Zen Hei"/>
        <family val="2"/>
      </rPr>
      <t xml:space="preserve">起与功率挂钩；增程式和纯电车的个人优惠只适用于 ≤</t>
    </r>
    <r>
      <rPr>
        <sz val="10"/>
        <rFont val="Arial"/>
        <family val="0"/>
        <charset val="1"/>
      </rPr>
      <t xml:space="preserve">80 </t>
    </r>
    <r>
      <rPr>
        <sz val="10"/>
        <rFont val="WenQuanYi Zen Hei"/>
        <family val="2"/>
      </rPr>
      <t xml:space="preserve">马力</t>
    </r>
  </si>
  <si>
    <t xml:space="preserve">S37, S38, S49</t>
  </si>
  <si>
    <t xml:space="preserve">结论：对增程式而言，车龄不改变税率，只通过“完税价格”和“报废税档位”影响总税费；这一点与燃油车和并联混动（车龄直接决定适用的统一税率）明显不同。</t>
  </si>
  <si>
    <t xml:space="preserve">中国增程式汽车进口：白俄罗斯与俄罗斯对比（新车与二手车）</t>
  </si>
  <si>
    <r>
      <rPr>
        <i val="true"/>
        <sz val="9"/>
        <color rgb="FF595959"/>
        <rFont val="WenQuanYi Zen Hei"/>
        <family val="2"/>
      </rPr>
      <t xml:space="preserve">关税由联盟统一，差别来自各国国内税费。“核实结果”列说明每项差异如何被确认：两国官方来源 </t>
    </r>
    <r>
      <rPr>
        <i val="true"/>
        <sz val="9"/>
        <color rgb="FF595959"/>
        <rFont val="Arial"/>
        <family val="0"/>
        <charset val="1"/>
      </rPr>
      <t xml:space="preserve">/ </t>
    </r>
    <r>
      <rPr>
        <i val="true"/>
        <sz val="9"/>
        <color rgb="FF595959"/>
        <rFont val="WenQuanYi Zen Hei"/>
        <family val="2"/>
      </rPr>
      <t xml:space="preserve">多个独立来源一致 </t>
    </r>
    <r>
      <rPr>
        <i val="true"/>
        <sz val="9"/>
        <color rgb="FF595959"/>
        <rFont val="Arial"/>
        <family val="0"/>
        <charset val="1"/>
      </rPr>
      <t xml:space="preserve">/ </t>
    </r>
    <r>
      <rPr>
        <i val="true"/>
        <sz val="9"/>
        <color rgb="FF595959"/>
        <rFont val="WenQuanYi Zen Hei"/>
        <family val="2"/>
      </rPr>
      <t xml:space="preserve">仅单一来源或未取得</t>
    </r>
  </si>
  <si>
    <t xml:space="preserve">白俄罗斯</t>
  </si>
  <si>
    <t xml:space="preserve">俄罗斯</t>
  </si>
  <si>
    <t xml:space="preserve">差异与影响</t>
  </si>
  <si>
    <t xml:space="preserve">核实结果</t>
  </si>
  <si>
    <t xml:space="preserve">税则编码与关税</t>
  </si>
  <si>
    <r>
      <rPr>
        <sz val="10"/>
        <rFont val="Arial"/>
        <family val="0"/>
        <charset val="1"/>
      </rPr>
      <t xml:space="preserve">8703 80 000 5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15%</t>
    </r>
  </si>
  <si>
    <t xml:space="preserve">无差异（联盟统一税则）</t>
  </si>
  <si>
    <r>
      <rPr>
        <sz val="10"/>
        <rFont val="WenQuanYi Zen Hei"/>
        <family val="2"/>
      </rPr>
      <t xml:space="preserve">已核实：</t>
    </r>
    <r>
      <rPr>
        <sz val="10"/>
        <rFont val="Arial"/>
        <family val="0"/>
        <charset val="1"/>
      </rPr>
      <t xml:space="preserve">EEC </t>
    </r>
    <r>
      <rPr>
        <sz val="10"/>
        <rFont val="WenQuanYi Zen Hei"/>
        <family val="2"/>
      </rPr>
      <t xml:space="preserve">委员会第 </t>
    </r>
    <r>
      <rPr>
        <sz val="10"/>
        <rFont val="Arial"/>
        <family val="0"/>
        <charset val="1"/>
      </rPr>
      <t xml:space="preserve">81 </t>
    </r>
    <r>
      <rPr>
        <sz val="10"/>
        <rFont val="WenQuanYi Zen Hei"/>
        <family val="2"/>
      </rPr>
      <t xml:space="preserve">号决定，白俄海关与俄方数据库一致</t>
    </r>
  </si>
  <si>
    <t xml:space="preserve">S26, S01, S27</t>
  </si>
  <si>
    <r>
      <rPr>
        <sz val="10"/>
        <rFont val="Arial"/>
        <family val="0"/>
        <charset val="1"/>
      </rPr>
      <t xml:space="preserve">22%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2026-01-01 </t>
    </r>
    <r>
      <rPr>
        <sz val="10"/>
        <rFont val="WenQuanYi Zen Hei"/>
        <family val="2"/>
      </rPr>
      <t xml:space="preserve">起，</t>
    </r>
    <r>
      <rPr>
        <sz val="10"/>
        <rFont val="Arial"/>
        <family val="0"/>
        <charset val="1"/>
      </rPr>
      <t xml:space="preserve">2025-11-28 </t>
    </r>
    <r>
      <rPr>
        <sz val="10"/>
        <rFont val="WenQuanYi Zen Hei"/>
        <family val="2"/>
      </rPr>
      <t xml:space="preserve">第 </t>
    </r>
    <r>
      <rPr>
        <sz val="10"/>
        <rFont val="Arial"/>
        <family val="0"/>
        <charset val="1"/>
      </rPr>
      <t xml:space="preserve">425-ФЗ </t>
    </r>
    <r>
      <rPr>
        <sz val="10"/>
        <rFont val="WenQuanYi Zen Hei"/>
        <family val="2"/>
      </rPr>
      <t xml:space="preserve">号联邦法）</t>
    </r>
  </si>
  <si>
    <r>
      <rPr>
        <sz val="10"/>
        <rFont val="WenQuanYi Zen Hei"/>
        <family val="2"/>
      </rPr>
      <t xml:space="preserve">俄罗斯高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个百分点；两国税基均为完税价格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关税（俄罗斯还要加消费税）</t>
    </r>
  </si>
  <si>
    <r>
      <rPr>
        <sz val="10"/>
        <rFont val="WenQuanYi Zen Hei"/>
        <family val="2"/>
      </rPr>
      <t xml:space="preserve">已核实：白俄海关说明；俄罗斯税务局与 </t>
    </r>
    <r>
      <rPr>
        <sz val="10"/>
        <rFont val="Arial"/>
        <family val="0"/>
        <charset val="1"/>
      </rPr>
      <t xml:space="preserve">КонсультантПлюс </t>
    </r>
    <r>
      <rPr>
        <sz val="10"/>
        <rFont val="WenQuanYi Zen Hei"/>
        <family val="2"/>
      </rPr>
      <t xml:space="preserve">一致</t>
    </r>
  </si>
  <si>
    <t xml:space="preserve">S13, S33, S34</t>
  </si>
  <si>
    <r>
      <rPr>
        <sz val="10"/>
        <rFont val="WenQuanYi Zen Hei"/>
        <family val="2"/>
      </rPr>
      <t xml:space="preserve">不征：《税法典》第 </t>
    </r>
    <r>
      <rPr>
        <sz val="10"/>
        <rFont val="Arial"/>
        <family val="0"/>
        <charset val="1"/>
      </rPr>
      <t xml:space="preserve">150 </t>
    </r>
    <r>
      <rPr>
        <sz val="10"/>
        <rFont val="WenQuanYi Zen Hei"/>
        <family val="2"/>
      </rPr>
      <t xml:space="preserve">条应税消费品清单（酒、烟、燃料、机油、电子烟、能量饮料等）中没有乘用车</t>
    </r>
  </si>
  <si>
    <r>
      <rPr>
        <sz val="10"/>
        <rFont val="WenQuanYi Zen Hei"/>
        <family val="2"/>
      </rPr>
      <t xml:space="preserve">按功率征收（</t>
    </r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，卢布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马力）：≤</t>
    </r>
    <r>
      <rPr>
        <sz val="10"/>
        <rFont val="Arial"/>
        <family val="0"/>
        <charset val="1"/>
      </rPr>
      <t xml:space="preserve">90 </t>
    </r>
    <r>
      <rPr>
        <sz val="10"/>
        <rFont val="WenQuanYi Zen Hei"/>
        <family val="2"/>
      </rPr>
      <t xml:space="preserve">马力 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90–150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64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150–200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613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200–300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1004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300–400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1711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400–500</t>
    </r>
    <r>
      <rPr>
        <sz val="10"/>
        <rFont val="WenQuanYi Zen Hei"/>
        <family val="2"/>
      </rPr>
      <t xml:space="preserve">：未独立核实；</t>
    </r>
    <r>
      <rPr>
        <sz val="10"/>
        <rFont val="Arial"/>
        <family val="0"/>
        <charset val="1"/>
      </rPr>
      <t xml:space="preserve">&gt;500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1829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2027 </t>
    </r>
    <r>
      <rPr>
        <sz val="10"/>
        <rFont val="WenQuanYi Zen Hei"/>
        <family val="2"/>
      </rPr>
      <t xml:space="preserve">年 </t>
    </r>
    <r>
      <rPr>
        <sz val="10"/>
        <rFont val="Arial"/>
        <family val="0"/>
        <charset val="1"/>
      </rPr>
      <t xml:space="preserve">1902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2028 </t>
    </r>
    <r>
      <rPr>
        <sz val="10"/>
        <rFont val="WenQuanYi Zen Hei"/>
        <family val="2"/>
      </rPr>
      <t xml:space="preserve">年 </t>
    </r>
    <r>
      <rPr>
        <sz val="10"/>
        <rFont val="Arial"/>
        <family val="0"/>
        <charset val="1"/>
      </rPr>
      <t xml:space="preserve">1978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</si>
  <si>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差异最明确的一项。增程车功率普遍 </t>
    </r>
    <r>
      <rPr>
        <sz val="10"/>
        <rFont val="Arial"/>
        <family val="0"/>
        <charset val="1"/>
      </rPr>
      <t xml:space="preserve">&gt;150 </t>
    </r>
    <r>
      <rPr>
        <sz val="10"/>
        <rFont val="WenQuanYi Zen Hei"/>
        <family val="2"/>
      </rPr>
      <t xml:space="preserve">马力，例：</t>
    </r>
    <r>
      <rPr>
        <sz val="10"/>
        <rFont val="Arial"/>
        <family val="0"/>
        <charset val="1"/>
      </rPr>
      <t xml:space="preserve">197 </t>
    </r>
    <r>
      <rPr>
        <sz val="10"/>
        <rFont val="WenQuanYi Zen Hei"/>
        <family val="2"/>
      </rPr>
      <t xml:space="preserve">马力 </t>
    </r>
    <r>
      <rPr>
        <sz val="10"/>
        <rFont val="Arial"/>
        <family val="0"/>
        <charset val="1"/>
      </rPr>
      <t xml:space="preserve">× 613 = 120,761 </t>
    </r>
    <r>
      <rPr>
        <sz val="10"/>
        <rFont val="WenQuanYi Zen Hei"/>
        <family val="2"/>
      </rPr>
      <t xml:space="preserve">卢布</t>
    </r>
  </si>
  <si>
    <r>
      <rPr>
        <sz val="10"/>
        <rFont val="WenQuanYi Zen Hei"/>
        <family val="2"/>
      </rPr>
      <t xml:space="preserve">白俄：财政部与税务部一致；俄罗斯：两家财税媒体一致，</t>
    </r>
    <r>
      <rPr>
        <sz val="10"/>
        <rFont val="Arial"/>
        <family val="0"/>
        <charset val="1"/>
      </rPr>
      <t xml:space="preserve">90–200 </t>
    </r>
    <r>
      <rPr>
        <sz val="10"/>
        <rFont val="WenQuanYi Zen Hei"/>
        <family val="2"/>
      </rPr>
      <t xml:space="preserve">马力档另有 </t>
    </r>
    <r>
      <rPr>
        <sz val="10"/>
        <rFont val="Arial"/>
        <family val="0"/>
        <charset val="1"/>
      </rPr>
      <t xml:space="preserve">КонсультантПлюс </t>
    </r>
    <r>
      <rPr>
        <sz val="10"/>
        <rFont val="WenQuanYi Zen Hei"/>
        <family val="2"/>
      </rPr>
      <t xml:space="preserve">佐证</t>
    </r>
  </si>
  <si>
    <t xml:space="preserve">S39, S40, S43, S44, S35</t>
  </si>
  <si>
    <t xml:space="preserve">个人进口计税方式</t>
  </si>
  <si>
    <r>
      <rPr>
        <sz val="10"/>
        <rFont val="Arial"/>
        <family val="0"/>
        <charset val="1"/>
      </rPr>
      <t xml:space="preserve">15% </t>
    </r>
    <r>
      <rPr>
        <sz val="10"/>
        <rFont val="WenQuanYi Zen Hei"/>
        <family val="2"/>
      </rPr>
      <t xml:space="preserve">关税 </t>
    </r>
    <r>
      <rPr>
        <sz val="10"/>
        <rFont val="Arial"/>
        <family val="0"/>
        <charset val="1"/>
      </rPr>
      <t xml:space="preserve">+ 20% </t>
    </r>
    <r>
      <rPr>
        <sz val="10"/>
        <rFont val="WenQuanYi Zen Hei"/>
        <family val="2"/>
      </rPr>
      <t xml:space="preserve">增值税，一次缴清</t>
    </r>
  </si>
  <si>
    <r>
      <rPr>
        <sz val="10"/>
        <rFont val="Arial"/>
        <family val="0"/>
        <charset val="1"/>
      </rPr>
      <t xml:space="preserve">15% </t>
    </r>
    <r>
      <rPr>
        <sz val="10"/>
        <rFont val="WenQuanYi Zen Hei"/>
        <family val="2"/>
      </rPr>
      <t xml:space="preserve">关税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消费税 </t>
    </r>
    <r>
      <rPr>
        <sz val="10"/>
        <rFont val="Arial"/>
        <family val="0"/>
        <charset val="1"/>
      </rPr>
      <t xml:space="preserve">+ 22% </t>
    </r>
    <r>
      <rPr>
        <sz val="10"/>
        <rFont val="WenQuanYi Zen Hei"/>
        <family val="2"/>
      </rPr>
      <t xml:space="preserve">增值税，一次缴清；电动机驱动车辆不适用按排量计的统一税率</t>
    </r>
  </si>
  <si>
    <r>
      <rPr>
        <sz val="10"/>
        <rFont val="WenQuanYi Zen Hei"/>
        <family val="2"/>
      </rPr>
      <t xml:space="preserve">规则同源（</t>
    </r>
    <r>
      <rPr>
        <sz val="10"/>
        <rFont val="Arial"/>
        <family val="0"/>
        <charset val="1"/>
      </rPr>
      <t xml:space="preserve">EEC </t>
    </r>
    <r>
      <rPr>
        <sz val="10"/>
        <rFont val="WenQuanYi Zen Hei"/>
        <family val="2"/>
      </rPr>
      <t xml:space="preserve">理事会第 </t>
    </r>
    <r>
      <rPr>
        <sz val="10"/>
        <rFont val="Arial"/>
        <family val="0"/>
        <charset val="1"/>
      </rPr>
      <t xml:space="preserve">107 </t>
    </r>
    <r>
      <rPr>
        <sz val="10"/>
        <rFont val="WenQuanYi Zen Hei"/>
        <family val="2"/>
      </rPr>
      <t xml:space="preserve">号决定），俄罗斯多出消费税</t>
    </r>
  </si>
  <si>
    <r>
      <rPr>
        <sz val="10"/>
        <rFont val="WenQuanYi Zen Hei"/>
        <family val="2"/>
      </rPr>
      <t xml:space="preserve">白俄：海关与 </t>
    </r>
    <r>
      <rPr>
        <sz val="10"/>
        <rFont val="Arial"/>
        <family val="0"/>
        <charset val="1"/>
      </rPr>
      <t xml:space="preserve">BelTA </t>
    </r>
    <r>
      <rPr>
        <sz val="10"/>
        <rFont val="WenQuanYi Zen Hei"/>
        <family val="2"/>
      </rPr>
      <t xml:space="preserve">的 </t>
    </r>
    <r>
      <rPr>
        <sz val="10"/>
        <rFont val="Arial"/>
        <family val="0"/>
        <charset val="1"/>
      </rPr>
      <t xml:space="preserve">38% </t>
    </r>
    <r>
      <rPr>
        <sz val="10"/>
        <rFont val="WenQuanYi Zen Hei"/>
        <family val="2"/>
      </rPr>
      <t xml:space="preserve">算法一致；俄罗斯：仅 </t>
    </r>
    <r>
      <rPr>
        <sz val="10"/>
        <rFont val="Arial"/>
        <family val="0"/>
        <charset val="1"/>
      </rPr>
      <t xml:space="preserve">TKS.RU </t>
    </r>
    <r>
      <rPr>
        <sz val="10"/>
        <rFont val="WenQuanYi Zen Hei"/>
        <family val="2"/>
      </rPr>
      <t xml:space="preserve">说明</t>
    </r>
  </si>
  <si>
    <t xml:space="preserve">S13, S22, S32, S30</t>
  </si>
  <si>
    <t xml:space="preserve">报废税：个人</t>
  </si>
  <si>
    <r>
      <rPr>
        <sz val="10"/>
        <rFont val="WenQuanYi Zen Hei"/>
        <family val="2"/>
      </rPr>
      <t xml:space="preserve">固定额：出厂 ≤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年 </t>
    </r>
    <r>
      <rPr>
        <sz val="10"/>
        <rFont val="Arial"/>
        <family val="0"/>
        <charset val="1"/>
      </rPr>
      <t xml:space="preserve">624.92 BYN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&gt;3 </t>
    </r>
    <r>
      <rPr>
        <sz val="10"/>
        <rFont val="WenQuanYi Zen Hei"/>
        <family val="2"/>
      </rPr>
      <t xml:space="preserve">年 </t>
    </r>
    <r>
      <rPr>
        <sz val="10"/>
        <rFont val="Arial"/>
        <family val="0"/>
        <charset val="1"/>
      </rPr>
      <t xml:space="preserve">1,282.02 BYN</t>
    </r>
    <r>
      <rPr>
        <sz val="10"/>
        <rFont val="WenQuanYi Zen Hei"/>
        <family val="2"/>
      </rPr>
      <t xml:space="preserve">；不论动力类型、排量、功率</t>
    </r>
  </si>
  <si>
    <r>
      <rPr>
        <sz val="10"/>
        <rFont val="WenQuanYi Zen Hei"/>
        <family val="2"/>
      </rPr>
      <t xml:space="preserve">基础额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万卢布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系数（按功率、车龄）。个人优惠 </t>
    </r>
    <r>
      <rPr>
        <sz val="10"/>
        <rFont val="Arial"/>
        <family val="0"/>
        <charset val="1"/>
      </rPr>
      <t xml:space="preserve">3,400 </t>
    </r>
    <r>
      <rPr>
        <sz val="10"/>
        <rFont val="WenQuanYi Zen Hei"/>
        <family val="2"/>
      </rPr>
      <t xml:space="preserve">卢布（≤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年）</t>
    </r>
    <r>
      <rPr>
        <sz val="10"/>
        <rFont val="Arial"/>
        <family val="0"/>
        <charset val="1"/>
      </rPr>
      <t xml:space="preserve">/ 5,200 </t>
    </r>
    <r>
      <rPr>
        <sz val="10"/>
        <rFont val="WenQuanYi Zen Hei"/>
        <family val="2"/>
      </rPr>
      <t xml:space="preserve">卢布（</t>
    </r>
    <r>
      <rPr>
        <sz val="10"/>
        <rFont val="Arial"/>
        <family val="0"/>
        <charset val="1"/>
      </rPr>
      <t xml:space="preserve">&gt;3 </t>
    </r>
    <r>
      <rPr>
        <sz val="10"/>
        <rFont val="WenQuanYi Zen Hei"/>
        <family val="2"/>
      </rPr>
      <t xml:space="preserve">年）：燃油车限 ≤</t>
    </r>
    <r>
      <rPr>
        <sz val="10"/>
        <rFont val="Arial"/>
        <family val="0"/>
        <charset val="1"/>
      </rPr>
      <t xml:space="preserve">160 </t>
    </r>
    <r>
      <rPr>
        <sz val="10"/>
        <rFont val="WenQuanYi Zen Hei"/>
        <family val="2"/>
      </rPr>
      <t xml:space="preserve">马力；增程式和纯电车限 ≤</t>
    </r>
    <r>
      <rPr>
        <sz val="10"/>
        <rFont val="Arial"/>
        <family val="0"/>
        <charset val="1"/>
      </rPr>
      <t xml:space="preserve">80 </t>
    </r>
    <r>
      <rPr>
        <sz val="10"/>
        <rFont val="WenQuanYi Zen Hei"/>
        <family val="2"/>
      </rPr>
      <t xml:space="preserve">马力（按电机 </t>
    </r>
    <r>
      <rPr>
        <sz val="10"/>
        <rFont val="Arial"/>
        <family val="0"/>
        <charset val="1"/>
      </rPr>
      <t xml:space="preserve">30 </t>
    </r>
    <r>
      <rPr>
        <sz val="10"/>
        <rFont val="WenQuanYi Zen Hei"/>
        <family val="2"/>
      </rPr>
      <t xml:space="preserve">分钟最大功率，以车辆证书为准）。超出则按商业系数：例理想 </t>
    </r>
    <r>
      <rPr>
        <sz val="10"/>
        <rFont val="Arial"/>
        <family val="0"/>
        <charset val="1"/>
      </rPr>
      <t xml:space="preserve">L7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197 </t>
    </r>
    <r>
      <rPr>
        <sz val="10"/>
        <rFont val="WenQuanYi Zen Hei"/>
        <family val="2"/>
      </rPr>
      <t xml:space="preserve">马力）约 </t>
    </r>
    <r>
      <rPr>
        <sz val="10"/>
        <rFont val="Arial"/>
        <family val="0"/>
        <charset val="1"/>
      </rPr>
      <t xml:space="preserve">219.4 </t>
    </r>
    <r>
      <rPr>
        <sz val="10"/>
        <rFont val="WenQuanYi Zen Hei"/>
        <family val="2"/>
      </rPr>
      <t xml:space="preserve">万卢布；新车 </t>
    </r>
    <r>
      <rPr>
        <sz val="10"/>
        <rFont val="Arial"/>
        <family val="0"/>
        <charset val="1"/>
      </rPr>
      <t xml:space="preserve">&gt;205.95 </t>
    </r>
    <r>
      <rPr>
        <sz val="10"/>
        <rFont val="WenQuanYi Zen Hei"/>
        <family val="2"/>
      </rPr>
      <t xml:space="preserve">千瓦系数 </t>
    </r>
    <r>
      <rPr>
        <sz val="10"/>
        <rFont val="Arial"/>
        <family val="0"/>
        <charset val="1"/>
      </rPr>
      <t xml:space="preserve">152</t>
    </r>
    <r>
      <rPr>
        <sz val="10"/>
        <rFont val="WenQuanYi Zen Hei"/>
        <family val="2"/>
      </rPr>
      <t xml:space="preserve">（约 </t>
    </r>
    <r>
      <rPr>
        <sz val="10"/>
        <rFont val="Arial"/>
        <family val="0"/>
        <charset val="1"/>
      </rPr>
      <t xml:space="preserve">304 </t>
    </r>
    <r>
      <rPr>
        <sz val="10"/>
        <rFont val="WenQuanYi Zen Hei"/>
        <family val="2"/>
      </rPr>
      <t xml:space="preserve">万卢布）</t>
    </r>
  </si>
  <si>
    <r>
      <rPr>
        <sz val="10"/>
        <rFont val="WenQuanYi Zen Hei"/>
        <family val="2"/>
      </rPr>
      <t xml:space="preserve">最大的差距来源：同一辆增程车，白俄约 </t>
    </r>
    <r>
      <rPr>
        <sz val="10"/>
        <rFont val="Arial"/>
        <family val="0"/>
        <charset val="1"/>
      </rPr>
      <t xml:space="preserve">625 BYN</t>
    </r>
    <r>
      <rPr>
        <sz val="10"/>
        <rFont val="WenQuanYi Zen Hei"/>
        <family val="2"/>
      </rPr>
      <t xml:space="preserve">，俄罗斯可达 </t>
    </r>
    <r>
      <rPr>
        <sz val="10"/>
        <rFont val="Arial"/>
        <family val="0"/>
        <charset val="1"/>
      </rPr>
      <t xml:space="preserve">200 </t>
    </r>
    <r>
      <rPr>
        <sz val="10"/>
        <rFont val="WenQuanYi Zen Hei"/>
        <family val="2"/>
      </rPr>
      <t xml:space="preserve">万–</t>
    </r>
    <r>
      <rPr>
        <sz val="10"/>
        <rFont val="Arial"/>
        <family val="0"/>
        <charset val="1"/>
      </rPr>
      <t xml:space="preserve">300 </t>
    </r>
    <r>
      <rPr>
        <sz val="10"/>
        <rFont val="WenQuanYi Zen Hei"/>
        <family val="2"/>
      </rPr>
      <t xml:space="preserve">万卢布</t>
    </r>
  </si>
  <si>
    <r>
      <rPr>
        <sz val="10"/>
        <rFont val="WenQuanYi Zen Hei"/>
        <family val="2"/>
      </rPr>
      <t xml:space="preserve">白俄：部长会议第 </t>
    </r>
    <r>
      <rPr>
        <sz val="10"/>
        <rFont val="Arial"/>
        <family val="0"/>
        <charset val="1"/>
      </rPr>
      <t xml:space="preserve">195 </t>
    </r>
    <r>
      <rPr>
        <sz val="10"/>
        <rFont val="WenQuanYi Zen Hei"/>
        <family val="2"/>
      </rPr>
      <t xml:space="preserve">号决议，经 </t>
    </r>
    <r>
      <rPr>
        <sz val="10"/>
        <rFont val="Arial"/>
        <family val="0"/>
        <charset val="1"/>
      </rPr>
      <t xml:space="preserve">pravo.by </t>
    </r>
    <r>
      <rPr>
        <sz val="10"/>
        <rFont val="WenQuanYi Zen Hei"/>
        <family val="2"/>
      </rPr>
      <t xml:space="preserve">与 </t>
    </r>
    <r>
      <rPr>
        <sz val="10"/>
        <rFont val="Arial"/>
        <family val="0"/>
        <charset val="1"/>
      </rPr>
      <t xml:space="preserve">BelTA </t>
    </r>
    <r>
      <rPr>
        <sz val="10"/>
        <rFont val="WenQuanYi Zen Hei"/>
        <family val="2"/>
      </rPr>
      <t xml:space="preserve">确认；俄罗斯：</t>
    </r>
    <r>
      <rPr>
        <sz val="10"/>
        <rFont val="Arial"/>
        <family val="0"/>
        <charset val="1"/>
      </rPr>
      <t xml:space="preserve">КонсультантПлюс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ГАРАНТ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TKS.RU </t>
    </r>
    <r>
      <rPr>
        <sz val="10"/>
        <rFont val="WenQuanYi Zen Hei"/>
        <family val="2"/>
      </rPr>
      <t xml:space="preserve">一致（理想 </t>
    </r>
    <r>
      <rPr>
        <sz val="10"/>
        <rFont val="Arial"/>
        <family val="0"/>
        <charset val="1"/>
      </rPr>
      <t xml:space="preserve">L7 </t>
    </r>
    <r>
      <rPr>
        <sz val="10"/>
        <rFont val="WenQuanYi Zen Hei"/>
        <family val="2"/>
      </rPr>
      <t xml:space="preserve">金额仅见 </t>
    </r>
    <r>
      <rPr>
        <sz val="10"/>
        <rFont val="Arial"/>
        <family val="0"/>
        <charset val="1"/>
      </rPr>
      <t xml:space="preserve">TKS.RU</t>
    </r>
    <r>
      <rPr>
        <sz val="10"/>
        <rFont val="WenQuanYi Zen Hei"/>
        <family val="2"/>
      </rPr>
      <t xml:space="preserve">）</t>
    </r>
  </si>
  <si>
    <t xml:space="preserve">S18, S24, S37, S46, S47, S49</t>
  </si>
  <si>
    <t xml:space="preserve">报废税：经其他成员国转入</t>
  </si>
  <si>
    <r>
      <rPr>
        <sz val="10"/>
        <rFont val="WenQuanYi Zen Hei"/>
        <family val="2"/>
      </rPr>
      <t xml:space="preserve">自 </t>
    </r>
    <r>
      <rPr>
        <sz val="10"/>
        <rFont val="Arial"/>
        <family val="0"/>
        <charset val="1"/>
      </rPr>
      <t xml:space="preserve">EAEU </t>
    </r>
    <r>
      <rPr>
        <sz val="10"/>
        <rFont val="WenQuanYi Zen Hei"/>
        <family val="2"/>
      </rPr>
      <t xml:space="preserve">成员国输入的车辆在白俄登记时一般要缴白俄报废税（在成员国登记满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年等情形除外）</t>
    </r>
  </si>
  <si>
    <r>
      <rPr>
        <sz val="10"/>
        <rFont val="Arial"/>
        <family val="0"/>
        <charset val="1"/>
      </rPr>
      <t xml:space="preserve">2026-04-01 </t>
    </r>
    <r>
      <rPr>
        <sz val="10"/>
        <rFont val="WenQuanYi Zen Hei"/>
        <family val="2"/>
      </rPr>
      <t xml:space="preserve">起，个人自白俄、哈萨克斯坦、吉尔吉斯斯坦、亚美尼亚输入的车辆，或用于转售的车辆，按商业规则缴纳</t>
    </r>
  </si>
  <si>
    <t xml:space="preserve">两国都封堵了“先在别国清关再转入”的做法</t>
  </si>
  <si>
    <t xml:space="preserve">各有一条来源</t>
  </si>
  <si>
    <t xml:space="preserve">S20, S45, S48</t>
  </si>
  <si>
    <t xml:space="preserve">报废税：法人</t>
  </si>
  <si>
    <r>
      <rPr>
        <sz val="10"/>
        <rFont val="WenQuanYi Zen Hei"/>
        <family val="2"/>
      </rPr>
      <t xml:space="preserve">按车辆类型、车龄分档；</t>
    </r>
    <r>
      <rPr>
        <sz val="10"/>
        <rFont val="Arial"/>
        <family val="0"/>
        <charset val="1"/>
      </rPr>
      <t xml:space="preserve">2025-02-10 </t>
    </r>
    <r>
      <rPr>
        <sz val="10"/>
        <rFont val="WenQuanYi Zen Hei"/>
        <family val="2"/>
      </rPr>
      <t xml:space="preserve">平均上调约一倍，官方说明是为与俄罗斯 </t>
    </r>
    <r>
      <rPr>
        <sz val="10"/>
        <rFont val="Arial"/>
        <family val="0"/>
        <charset val="1"/>
      </rPr>
      <t xml:space="preserve">2025 </t>
    </r>
    <r>
      <rPr>
        <sz val="10"/>
        <rFont val="WenQuanYi Zen Hei"/>
        <family val="2"/>
      </rPr>
      <t xml:space="preserve">年起的税率“对齐”；</t>
    </r>
    <r>
      <rPr>
        <sz val="10"/>
        <rFont val="Arial"/>
        <family val="0"/>
        <charset val="1"/>
      </rPr>
      <t xml:space="preserve">2026-04-29 </t>
    </r>
    <r>
      <rPr>
        <sz val="10"/>
        <rFont val="WenQuanYi Zen Hei"/>
        <family val="2"/>
      </rPr>
      <t xml:space="preserve">再上调约 </t>
    </r>
    <r>
      <rPr>
        <sz val="10"/>
        <rFont val="Arial"/>
        <family val="0"/>
        <charset val="1"/>
      </rPr>
      <t xml:space="preserve">7%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M1 </t>
    </r>
    <r>
      <rPr>
        <sz val="10"/>
        <rFont val="WenQuanYi Zen Hei"/>
        <family val="2"/>
      </rPr>
      <t xml:space="preserve">类混动和电动车不适用优惠档</t>
    </r>
  </si>
  <si>
    <r>
      <rPr>
        <sz val="10"/>
        <rFont val="WenQuanYi Zen Hei"/>
        <family val="2"/>
      </rPr>
      <t xml:space="preserve">商业系数（按功率、车龄），</t>
    </r>
    <r>
      <rPr>
        <sz val="10"/>
        <rFont val="Arial"/>
        <family val="0"/>
        <charset val="1"/>
      </rPr>
      <t xml:space="preserve">2025-12-01 </t>
    </r>
    <r>
      <rPr>
        <sz val="10"/>
        <rFont val="WenQuanYi Zen Hei"/>
        <family val="2"/>
      </rPr>
      <t xml:space="preserve">起加入功率维度</t>
    </r>
  </si>
  <si>
    <r>
      <rPr>
        <sz val="10"/>
        <rFont val="WenQuanYi Zen Hei"/>
        <family val="2"/>
      </rPr>
      <t xml:space="preserve">白俄法人水平向俄罗斯 </t>
    </r>
    <r>
      <rPr>
        <sz val="10"/>
        <rFont val="Arial"/>
        <family val="0"/>
        <charset val="1"/>
      </rPr>
      <t xml:space="preserve">2025 </t>
    </r>
    <r>
      <rPr>
        <sz val="10"/>
        <rFont val="WenQuanYi Zen Hei"/>
        <family val="2"/>
      </rPr>
      <t xml:space="preserve">年水平靠拢，但俄罗斯 </t>
    </r>
    <r>
      <rPr>
        <sz val="10"/>
        <rFont val="Arial"/>
        <family val="0"/>
        <charset val="1"/>
      </rPr>
      <t xml:space="preserve">2025-12 </t>
    </r>
    <r>
      <rPr>
        <sz val="10"/>
        <rFont val="WenQuanYi Zen Hei"/>
        <family val="2"/>
      </rPr>
      <t xml:space="preserve">以后按功率再次加码</t>
    </r>
  </si>
  <si>
    <t xml:space="preserve">白俄法人具体金额仍未取得</t>
  </si>
  <si>
    <t xml:space="preserve">S41, S42, S18, S19, S37</t>
  </si>
  <si>
    <t xml:space="preserve">电动车优惠</t>
  </si>
  <si>
    <r>
      <rPr>
        <sz val="10"/>
        <rFont val="WenQuanYi Zen Hei"/>
        <family val="2"/>
      </rPr>
      <t xml:space="preserve">纯电动车有关税配额（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万辆，已用完）和增值税减免；增程式没有</t>
    </r>
  </si>
  <si>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年无电动车关税配额；增程式没有</t>
    </r>
  </si>
  <si>
    <t xml:space="preserve">对增程式，两国都没有优惠</t>
  </si>
  <si>
    <t xml:space="preserve">已核实</t>
  </si>
  <si>
    <t xml:space="preserve">S03, S16, S28</t>
  </si>
  <si>
    <r>
      <rPr>
        <sz val="10"/>
        <rFont val="WenQuanYi Zen Hei"/>
        <family val="2"/>
      </rPr>
      <t xml:space="preserve">新车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二手车</t>
    </r>
  </si>
  <si>
    <r>
      <rPr>
        <sz val="10"/>
        <rFont val="WenQuanYi Zen Hei"/>
        <family val="2"/>
      </rPr>
      <t xml:space="preserve">关税、增值税税率不随车龄变化；个人报废税满 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年约翻倍</t>
    </r>
  </si>
  <si>
    <r>
      <rPr>
        <sz val="10"/>
        <rFont val="WenQuanYi Zen Hei"/>
        <family val="2"/>
      </rPr>
      <t xml:space="preserve">关税税率不随车龄变化；报废税按车龄采用不同系数（超过 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年更高），个人优惠额 </t>
    </r>
    <r>
      <rPr>
        <sz val="10"/>
        <rFont val="Arial"/>
        <family val="0"/>
        <charset val="1"/>
      </rPr>
      <t xml:space="preserve">3,400 → 5,200 </t>
    </r>
    <r>
      <rPr>
        <sz val="10"/>
        <rFont val="WenQuanYi Zen Hei"/>
        <family val="2"/>
      </rPr>
      <t xml:space="preserve">卢布</t>
    </r>
  </si>
  <si>
    <t xml:space="preserve">两国关税都不随车龄变化，车龄通过报废税起作用</t>
  </si>
  <si>
    <t xml:space="preserve">S27, S18, S37</t>
  </si>
  <si>
    <r>
      <rPr>
        <i val="true"/>
        <sz val="9"/>
        <color rgb="FF595959"/>
        <rFont val="WenQuanYi Zen Hei"/>
        <family val="2"/>
      </rPr>
      <t xml:space="preserve">结论：同一辆中国增程车，白俄的税费主要是 </t>
    </r>
    <r>
      <rPr>
        <i val="true"/>
        <sz val="9"/>
        <color rgb="FF595959"/>
        <rFont val="Arial"/>
        <family val="0"/>
        <charset val="1"/>
      </rPr>
      <t xml:space="preserve">15% </t>
    </r>
    <r>
      <rPr>
        <i val="true"/>
        <sz val="9"/>
        <color rgb="FF595959"/>
        <rFont val="WenQuanYi Zen Hei"/>
        <family val="2"/>
      </rPr>
      <t xml:space="preserve">关税和 </t>
    </r>
    <r>
      <rPr>
        <i val="true"/>
        <sz val="9"/>
        <color rgb="FF595959"/>
        <rFont val="Arial"/>
        <family val="0"/>
        <charset val="1"/>
      </rPr>
      <t xml:space="preserve">20% </t>
    </r>
    <r>
      <rPr>
        <i val="true"/>
        <sz val="9"/>
        <color rgb="FF595959"/>
        <rFont val="WenQuanYi Zen Hei"/>
        <family val="2"/>
      </rPr>
      <t xml:space="preserve">增值税（约为完税价格的 </t>
    </r>
    <r>
      <rPr>
        <i val="true"/>
        <sz val="9"/>
        <color rgb="FF595959"/>
        <rFont val="Arial"/>
        <family val="0"/>
        <charset val="1"/>
      </rPr>
      <t xml:space="preserve">38%</t>
    </r>
    <r>
      <rPr>
        <i val="true"/>
        <sz val="9"/>
        <color rgb="FF595959"/>
        <rFont val="WenQuanYi Zen Hei"/>
        <family val="2"/>
      </rPr>
      <t xml:space="preserve">），再加几百白俄卢布的报废税；俄罗斯多了按马力征收的消费税、更高的增值税，以及按功率计征、通常达数百万卢布的报废税，总税费约为白俄的 </t>
    </r>
    <r>
      <rPr>
        <i val="true"/>
        <sz val="9"/>
        <color rgb="FF595959"/>
        <rFont val="Arial"/>
        <family val="0"/>
        <charset val="1"/>
      </rPr>
      <t xml:space="preserve">3 </t>
    </r>
    <r>
      <rPr>
        <i val="true"/>
        <sz val="9"/>
        <color rgb="FF595959"/>
        <rFont val="WenQuanYi Zen Hei"/>
        <family val="2"/>
      </rPr>
      <t xml:space="preserve">倍以上。量化示例见“俄罗斯对比测算”。</t>
    </r>
  </si>
  <si>
    <r>
      <rPr>
        <b val="true"/>
        <sz val="16"/>
        <color rgb="FF1F4E78"/>
        <rFont val="WenQuanYi Zen Hei"/>
        <family val="2"/>
      </rPr>
      <t xml:space="preserve">增程式进口白俄罗斯：税费测算（个人 </t>
    </r>
    <r>
      <rPr>
        <b val="true"/>
        <sz val="16"/>
        <color rgb="FF1F4E78"/>
        <rFont val="Arial"/>
        <family val="0"/>
        <charset val="1"/>
      </rPr>
      <t xml:space="preserve">vs </t>
    </r>
    <r>
      <rPr>
        <b val="true"/>
        <sz val="16"/>
        <color rgb="FF1F4E78"/>
        <rFont val="WenQuanYi Zen Hei"/>
        <family val="2"/>
      </rPr>
      <t xml:space="preserve">法人，新车 </t>
    </r>
    <r>
      <rPr>
        <b val="true"/>
        <sz val="16"/>
        <color rgb="FF1F4E78"/>
        <rFont val="Arial"/>
        <family val="0"/>
        <charset val="1"/>
      </rPr>
      <t xml:space="preserve">vs </t>
    </r>
    <r>
      <rPr>
        <b val="true"/>
        <sz val="16"/>
        <color rgb="FF1F4E78"/>
        <rFont val="WenQuanYi Zen Hei"/>
        <family val="2"/>
      </rPr>
      <t xml:space="preserve">二手车）</t>
    </r>
  </si>
  <si>
    <t xml:space="preserve">蓝色为输入，黄色底为必须按实际填写的关键假设，黑色为公式。示例车价为假设值，用来展示车龄如何影响税费；请替换为实际完税价格</t>
  </si>
  <si>
    <t xml:space="preserve">一、通用参数</t>
  </si>
  <si>
    <r>
      <rPr>
        <sz val="10"/>
        <rFont val="WenQuanYi Zen Hei"/>
        <family val="2"/>
      </rPr>
      <t xml:space="preserve">汇率 </t>
    </r>
    <r>
      <rPr>
        <sz val="10"/>
        <rFont val="Arial"/>
        <family val="0"/>
        <charset val="1"/>
      </rPr>
      <t xml:space="preserve">BYN/USD</t>
    </r>
  </si>
  <si>
    <t xml:space="preserve">【示例值，非实时汇率】按报关当日白俄国家银行官方汇率填写</t>
  </si>
  <si>
    <r>
      <rPr>
        <sz val="10"/>
        <rFont val="WenQuanYi Zen Hei"/>
        <family val="2"/>
      </rPr>
      <t xml:space="preserve">进口关税税率（</t>
    </r>
    <r>
      <rPr>
        <sz val="10"/>
        <rFont val="Arial"/>
        <family val="0"/>
        <charset val="1"/>
      </rPr>
      <t xml:space="preserve">8703 80 000 5</t>
    </r>
    <r>
      <rPr>
        <sz val="10"/>
        <rFont val="WenQuanYi Zen Hei"/>
        <family val="2"/>
      </rPr>
      <t xml:space="preserve">）</t>
    </r>
  </si>
  <si>
    <r>
      <rPr>
        <i val="true"/>
        <sz val="9"/>
        <color rgb="FF595959"/>
        <rFont val="Arial"/>
        <family val="0"/>
        <charset val="1"/>
      </rPr>
      <t xml:space="preserve">EEC </t>
    </r>
    <r>
      <rPr>
        <i val="true"/>
        <sz val="9"/>
        <color rgb="FF595959"/>
        <rFont val="WenQuanYi Zen Hei"/>
        <family val="2"/>
      </rPr>
      <t xml:space="preserve">委员会第 </t>
    </r>
    <r>
      <rPr>
        <i val="true"/>
        <sz val="9"/>
        <color rgb="FF595959"/>
        <rFont val="Arial"/>
        <family val="0"/>
        <charset val="1"/>
      </rPr>
      <t xml:space="preserve">81 </t>
    </r>
    <r>
      <rPr>
        <i val="true"/>
        <sz val="9"/>
        <color rgb="FF595959"/>
        <rFont val="WenQuanYi Zen Hei"/>
        <family val="2"/>
      </rPr>
      <t xml:space="preserve">号决定</t>
    </r>
  </si>
  <si>
    <t xml:space="preserve">增值税税率</t>
  </si>
  <si>
    <r>
      <rPr>
        <i val="true"/>
        <sz val="9"/>
        <color rgb="FF595959"/>
        <rFont val="Arial"/>
        <family val="0"/>
        <charset val="1"/>
      </rPr>
      <t xml:space="preserve">2026 </t>
    </r>
    <r>
      <rPr>
        <i val="true"/>
        <sz val="9"/>
        <color rgb="FF595959"/>
        <rFont val="WenQuanYi Zen Hei"/>
        <family val="2"/>
      </rPr>
      <t xml:space="preserve">年起增程式不再免征</t>
    </r>
  </si>
  <si>
    <r>
      <rPr>
        <sz val="10"/>
        <rFont val="WenQuanYi Zen Hei"/>
        <family val="2"/>
      </rPr>
      <t xml:space="preserve">个人报废税：出厂 ≤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年（</t>
    </r>
    <r>
      <rPr>
        <sz val="10"/>
        <rFont val="Arial"/>
        <family val="0"/>
        <charset val="1"/>
      </rPr>
      <t xml:space="preserve">BYN</t>
    </r>
    <r>
      <rPr>
        <sz val="10"/>
        <rFont val="WenQuanYi Zen Hei"/>
        <family val="2"/>
      </rPr>
      <t xml:space="preserve">）</t>
    </r>
  </si>
  <si>
    <r>
      <rPr>
        <i val="true"/>
        <sz val="9"/>
        <color rgb="FF595959"/>
        <rFont val="WenQuanYi Zen Hei"/>
        <family val="2"/>
      </rPr>
      <t xml:space="preserve">部长会议第 </t>
    </r>
    <r>
      <rPr>
        <i val="true"/>
        <sz val="9"/>
        <color rgb="FF595959"/>
        <rFont val="Arial"/>
        <family val="0"/>
        <charset val="1"/>
      </rPr>
      <t xml:space="preserve">195 </t>
    </r>
    <r>
      <rPr>
        <i val="true"/>
        <sz val="9"/>
        <color rgb="FF595959"/>
        <rFont val="WenQuanYi Zen Hei"/>
        <family val="2"/>
      </rPr>
      <t xml:space="preserve">号决议，</t>
    </r>
    <r>
      <rPr>
        <i val="true"/>
        <sz val="9"/>
        <color rgb="FF595959"/>
        <rFont val="Arial"/>
        <family val="0"/>
        <charset val="1"/>
      </rPr>
      <t xml:space="preserve">2026-04-29 </t>
    </r>
    <r>
      <rPr>
        <i val="true"/>
        <sz val="9"/>
        <color rgb="FF595959"/>
        <rFont val="WenQuanYi Zen Hei"/>
        <family val="2"/>
      </rPr>
      <t xml:space="preserve">起</t>
    </r>
  </si>
  <si>
    <r>
      <rPr>
        <sz val="10"/>
        <rFont val="WenQuanYi Zen Hei"/>
        <family val="2"/>
      </rPr>
      <t xml:space="preserve">个人报废税：出厂 </t>
    </r>
    <r>
      <rPr>
        <sz val="10"/>
        <rFont val="Arial"/>
        <family val="0"/>
        <charset val="1"/>
      </rPr>
      <t xml:space="preserve">&gt;3 </t>
    </r>
    <r>
      <rPr>
        <sz val="10"/>
        <rFont val="WenQuanYi Zen Hei"/>
        <family val="2"/>
      </rPr>
      <t xml:space="preserve">年（</t>
    </r>
    <r>
      <rPr>
        <sz val="10"/>
        <rFont val="Arial"/>
        <family val="0"/>
        <charset val="1"/>
      </rPr>
      <t xml:space="preserve">BYN</t>
    </r>
    <r>
      <rPr>
        <sz val="10"/>
        <rFont val="WenQuanYi Zen Hei"/>
        <family val="2"/>
      </rPr>
      <t xml:space="preserve">）</t>
    </r>
  </si>
  <si>
    <t xml:space="preserve">同上</t>
  </si>
  <si>
    <r>
      <rPr>
        <sz val="10"/>
        <rFont val="WenQuanYi Zen Hei"/>
        <family val="2"/>
      </rPr>
      <t xml:space="preserve">海关手续费（</t>
    </r>
    <r>
      <rPr>
        <sz val="10"/>
        <rFont val="Arial"/>
        <family val="0"/>
        <charset val="1"/>
      </rPr>
      <t xml:space="preserve">BYN</t>
    </r>
    <r>
      <rPr>
        <sz val="10"/>
        <rFont val="WenQuanYi Zen Hei"/>
        <family val="2"/>
      </rPr>
      <t xml:space="preserve">，每辆）</t>
    </r>
  </si>
  <si>
    <r>
      <rPr>
        <i val="true"/>
        <sz val="9"/>
        <color rgb="FF595959"/>
        <rFont val="WenQuanYi Zen Hei"/>
        <family val="2"/>
      </rPr>
      <t xml:space="preserve">依总统令第 </t>
    </r>
    <r>
      <rPr>
        <i val="true"/>
        <sz val="9"/>
        <color rgb="FF595959"/>
        <rFont val="Arial"/>
        <family val="0"/>
        <charset val="1"/>
      </rPr>
      <t xml:space="preserve">443 </t>
    </r>
    <r>
      <rPr>
        <i val="true"/>
        <sz val="9"/>
        <color rgb="FF595959"/>
        <rFont val="WenQuanYi Zen Hei"/>
        <family val="2"/>
      </rPr>
      <t xml:space="preserve">号，按实际填写</t>
    </r>
  </si>
  <si>
    <t xml:space="preserve">二、场景输入</t>
  </si>
  <si>
    <t xml:space="preserve">新车</t>
  </si>
  <si>
    <r>
      <rPr>
        <b val="true"/>
        <sz val="10"/>
        <color rgb="FFFFFFFF"/>
        <rFont val="WenQuanYi Zen Hei"/>
        <family val="2"/>
      </rPr>
      <t xml:space="preserve">二手 </t>
    </r>
    <r>
      <rPr>
        <b val="true"/>
        <sz val="10"/>
        <color rgb="FFFFFFFF"/>
        <rFont val="Arial"/>
        <family val="0"/>
        <charset val="1"/>
      </rPr>
      <t xml:space="preserve">2 </t>
    </r>
    <r>
      <rPr>
        <b val="true"/>
        <sz val="10"/>
        <color rgb="FFFFFFFF"/>
        <rFont val="WenQuanYi Zen Hei"/>
        <family val="2"/>
      </rPr>
      <t xml:space="preserve">年</t>
    </r>
  </si>
  <si>
    <r>
      <rPr>
        <b val="true"/>
        <sz val="10"/>
        <color rgb="FFFFFFFF"/>
        <rFont val="WenQuanYi Zen Hei"/>
        <family val="2"/>
      </rPr>
      <t xml:space="preserve">二手 </t>
    </r>
    <r>
      <rPr>
        <b val="true"/>
        <sz val="10"/>
        <color rgb="FFFFFFFF"/>
        <rFont val="Arial"/>
        <family val="0"/>
        <charset val="1"/>
      </rPr>
      <t xml:space="preserve">4 </t>
    </r>
    <r>
      <rPr>
        <b val="true"/>
        <sz val="10"/>
        <color rgb="FFFFFFFF"/>
        <rFont val="WenQuanYi Zen Hei"/>
        <family val="2"/>
      </rPr>
      <t xml:space="preserve">年</t>
    </r>
  </si>
  <si>
    <r>
      <rPr>
        <b val="true"/>
        <sz val="10"/>
        <color rgb="FFFFFFFF"/>
        <rFont val="WenQuanYi Zen Hei"/>
        <family val="2"/>
      </rPr>
      <t xml:space="preserve">二手 </t>
    </r>
    <r>
      <rPr>
        <b val="true"/>
        <sz val="10"/>
        <color rgb="FFFFFFFF"/>
        <rFont val="Arial"/>
        <family val="0"/>
        <charset val="1"/>
      </rPr>
      <t xml:space="preserve">6 </t>
    </r>
    <r>
      <rPr>
        <b val="true"/>
        <sz val="10"/>
        <color rgb="FFFFFFFF"/>
        <rFont val="WenQuanYi Zen Hei"/>
        <family val="2"/>
      </rPr>
      <t xml:space="preserve">年</t>
    </r>
  </si>
  <si>
    <t xml:space="preserve">车龄（出厂至报关，年）</t>
  </si>
  <si>
    <t xml:space="preserve">按出厂日期计算</t>
  </si>
  <si>
    <r>
      <rPr>
        <sz val="10"/>
        <rFont val="WenQuanYi Zen Hei"/>
        <family val="2"/>
      </rPr>
      <t xml:space="preserve">完税价格（</t>
    </r>
    <r>
      <rPr>
        <sz val="10"/>
        <rFont val="Arial"/>
        <family val="0"/>
        <charset val="1"/>
      </rPr>
      <t xml:space="preserve">USD</t>
    </r>
    <r>
      <rPr>
        <sz val="10"/>
        <rFont val="WenQuanYi Zen Hei"/>
        <family val="2"/>
      </rPr>
      <t xml:space="preserve">，含运至联盟关境的运费和保险费）</t>
    </r>
  </si>
  <si>
    <t xml:space="preserve">【假设值】示例车价，仅用于演示</t>
  </si>
  <si>
    <r>
      <rPr>
        <sz val="10"/>
        <rFont val="WenQuanYi Zen Hei"/>
        <family val="2"/>
      </rPr>
      <t xml:space="preserve">法人报废税（</t>
    </r>
    <r>
      <rPr>
        <sz val="10"/>
        <rFont val="Arial"/>
        <family val="0"/>
        <charset val="1"/>
      </rPr>
      <t xml:space="preserve">BYN</t>
    </r>
    <r>
      <rPr>
        <sz val="10"/>
        <rFont val="WenQuanYi Zen Hei"/>
        <family val="2"/>
      </rPr>
      <t xml:space="preserve">）</t>
    </r>
  </si>
  <si>
    <r>
      <rPr>
        <i val="true"/>
        <sz val="9"/>
        <color rgb="FF595959"/>
        <rFont val="WenQuanYi Zen Hei"/>
        <family val="2"/>
      </rPr>
      <t xml:space="preserve">本次未取得法人金额，请按第 </t>
    </r>
    <r>
      <rPr>
        <i val="true"/>
        <sz val="9"/>
        <color rgb="FF595959"/>
        <rFont val="Arial"/>
        <family val="0"/>
        <charset val="1"/>
      </rPr>
      <t xml:space="preserve">195 </t>
    </r>
    <r>
      <rPr>
        <i val="true"/>
        <sz val="9"/>
        <color rgb="FF595959"/>
        <rFont val="WenQuanYi Zen Hei"/>
        <family val="2"/>
      </rPr>
      <t xml:space="preserve">号决议或 </t>
    </r>
    <r>
      <rPr>
        <i val="true"/>
        <sz val="9"/>
        <color rgb="FF595959"/>
        <rFont val="Arial"/>
        <family val="0"/>
        <charset val="1"/>
      </rPr>
      <t xml:space="preserve">ГТК </t>
    </r>
    <r>
      <rPr>
        <i val="true"/>
        <sz val="9"/>
        <color rgb="FF595959"/>
        <rFont val="WenQuanYi Zen Hei"/>
        <family val="2"/>
      </rPr>
      <t xml:space="preserve">查询后填写</t>
    </r>
  </si>
  <si>
    <t xml:space="preserve">三、计算结果（公式）</t>
  </si>
  <si>
    <r>
      <rPr>
        <sz val="10"/>
        <rFont val="WenQuanYi Zen Hei"/>
        <family val="2"/>
      </rPr>
      <t xml:space="preserve">完税价格（</t>
    </r>
    <r>
      <rPr>
        <sz val="10"/>
        <rFont val="Arial"/>
        <family val="0"/>
        <charset val="1"/>
      </rPr>
      <t xml:space="preserve">BYN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</si>
  <si>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进口关税（</t>
    </r>
    <r>
      <rPr>
        <sz val="10"/>
        <rFont val="Arial"/>
        <family val="0"/>
        <charset val="1"/>
      </rPr>
      <t xml:space="preserve">BYN</t>
    </r>
    <r>
      <rPr>
        <sz val="10"/>
        <rFont val="WenQuanYi Zen Hei"/>
        <family val="2"/>
      </rPr>
      <t xml:space="preserve">）</t>
    </r>
  </si>
  <si>
    <t xml:space="preserve">个人、法人相同</t>
  </si>
  <si>
    <r>
      <rPr>
        <sz val="10"/>
        <rFont val="WenQuanYi Zen Hei"/>
        <family val="2"/>
      </rPr>
      <t xml:space="preserve">增值税（</t>
    </r>
    <r>
      <rPr>
        <sz val="10"/>
        <rFont val="Arial"/>
        <family val="0"/>
        <charset val="1"/>
      </rPr>
      <t xml:space="preserve">BYN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</si>
  <si>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关税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增值税（</t>
    </r>
    <r>
      <rPr>
        <sz val="10"/>
        <rFont val="Arial"/>
        <family val="0"/>
        <charset val="1"/>
      </rPr>
      <t xml:space="preserve">BYN</t>
    </r>
    <r>
      <rPr>
        <sz val="1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</si>
  <si>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关税 </t>
    </r>
    <r>
      <rPr>
        <b val="true"/>
        <sz val="10"/>
        <rFont val="Arial"/>
        <family val="0"/>
        <charset val="1"/>
      </rPr>
      <t xml:space="preserve">+ </t>
    </r>
    <r>
      <rPr>
        <b val="true"/>
        <sz val="10"/>
        <rFont val="WenQuanYi Zen Hei"/>
        <family val="2"/>
      </rPr>
      <t xml:space="preserve">增值税占完税价格</t>
    </r>
  </si>
  <si>
    <r>
      <rPr>
        <i val="true"/>
        <sz val="9"/>
        <color rgb="FF595959"/>
        <rFont val="WenQuanYi Zen Hei"/>
        <family val="2"/>
      </rPr>
      <t xml:space="preserve">应为 </t>
    </r>
    <r>
      <rPr>
        <i val="true"/>
        <sz val="9"/>
        <color rgb="FF595959"/>
        <rFont val="Arial"/>
        <family val="0"/>
        <charset val="1"/>
      </rPr>
      <t xml:space="preserve">38.0%</t>
    </r>
    <r>
      <rPr>
        <i val="true"/>
        <sz val="9"/>
        <color rgb="FF595959"/>
        <rFont val="WenQuanYi Zen Hei"/>
        <family val="2"/>
      </rPr>
      <t xml:space="preserve">，不随车龄变化</t>
    </r>
  </si>
  <si>
    <r>
      <rPr>
        <sz val="10"/>
        <rFont val="WenQuanYi Zen Hei"/>
        <family val="2"/>
      </rPr>
      <t xml:space="preserve">个人：报废税（</t>
    </r>
    <r>
      <rPr>
        <sz val="10"/>
        <rFont val="Arial"/>
        <family val="0"/>
        <charset val="1"/>
      </rPr>
      <t xml:space="preserve">BYN</t>
    </r>
    <r>
      <rPr>
        <sz val="10"/>
        <rFont val="WenQuanYi Zen Hei"/>
        <family val="2"/>
      </rPr>
      <t xml:space="preserve">）</t>
    </r>
  </si>
  <si>
    <r>
      <rPr>
        <i val="true"/>
        <sz val="9"/>
        <color rgb="FF595959"/>
        <rFont val="WenQuanYi Zen Hei"/>
        <family val="2"/>
      </rPr>
      <t xml:space="preserve">以出厂满 </t>
    </r>
    <r>
      <rPr>
        <i val="true"/>
        <sz val="9"/>
        <color rgb="FF595959"/>
        <rFont val="Arial"/>
        <family val="0"/>
        <charset val="1"/>
      </rPr>
      <t xml:space="preserve">3 </t>
    </r>
    <r>
      <rPr>
        <i val="true"/>
        <sz val="9"/>
        <color rgb="FF595959"/>
        <rFont val="WenQuanYi Zen Hei"/>
        <family val="2"/>
      </rPr>
      <t xml:space="preserve">年为界</t>
    </r>
  </si>
  <si>
    <r>
      <rPr>
        <b val="true"/>
        <sz val="10"/>
        <rFont val="WenQuanYi Zen Hei"/>
        <family val="2"/>
      </rPr>
      <t xml:space="preserve">个人：应缴合计（</t>
    </r>
    <r>
      <rPr>
        <b val="true"/>
        <sz val="10"/>
        <rFont val="Arial"/>
        <family val="0"/>
        <charset val="1"/>
      </rPr>
      <t xml:space="preserve">BYN</t>
    </r>
    <r>
      <rPr>
        <b val="true"/>
        <sz val="10"/>
        <rFont val="WenQuanYi Zen Hei"/>
        <family val="2"/>
      </rPr>
      <t xml:space="preserve">）</t>
    </r>
  </si>
  <si>
    <t xml:space="preserve">个人：合计占完税价格</t>
  </si>
  <si>
    <r>
      <rPr>
        <sz val="10"/>
        <rFont val="WenQuanYi Zen Hei"/>
        <family val="2"/>
      </rPr>
      <t xml:space="preserve">法人：应缴合计（</t>
    </r>
    <r>
      <rPr>
        <sz val="10"/>
        <rFont val="Arial"/>
        <family val="0"/>
        <charset val="1"/>
      </rPr>
      <t xml:space="preserve">BYN</t>
    </r>
    <r>
      <rPr>
        <sz val="10"/>
        <rFont val="WenQuanYi Zen Hei"/>
        <family val="2"/>
      </rPr>
      <t xml:space="preserve">）</t>
    </r>
  </si>
  <si>
    <t xml:space="preserve">法人报废税需手工填写</t>
  </si>
  <si>
    <r>
      <rPr>
        <sz val="10"/>
        <rFont val="WenQuanYi Zen Hei"/>
        <family val="2"/>
      </rPr>
      <t xml:space="preserve">法人：其中可抵扣进项增值税（</t>
    </r>
    <r>
      <rPr>
        <sz val="10"/>
        <rFont val="Arial"/>
        <family val="0"/>
        <charset val="1"/>
      </rPr>
      <t xml:space="preserve">BYN</t>
    </r>
    <r>
      <rPr>
        <sz val="10"/>
        <rFont val="WenQuanYi Zen Hei"/>
        <family val="2"/>
      </rPr>
      <t xml:space="preserve">）</t>
    </r>
  </si>
  <si>
    <t xml:space="preserve">仅限增值税纳税人</t>
  </si>
  <si>
    <r>
      <rPr>
        <sz val="10"/>
        <rFont val="WenQuanYi Zen Hei"/>
        <family val="2"/>
      </rPr>
      <t xml:space="preserve">法人：抵扣后净税费（</t>
    </r>
    <r>
      <rPr>
        <sz val="10"/>
        <rFont val="Arial"/>
        <family val="0"/>
        <charset val="1"/>
      </rPr>
      <t xml:space="preserve">BYN</t>
    </r>
    <r>
      <rPr>
        <sz val="10"/>
        <rFont val="WenQuanYi Zen Hei"/>
        <family val="2"/>
      </rPr>
      <t xml:space="preserve">）</t>
    </r>
  </si>
  <si>
    <t xml:space="preserve">法人：净税费占完税价格</t>
  </si>
  <si>
    <r>
      <rPr>
        <sz val="10"/>
        <rFont val="WenQuanYi Zen Hei"/>
        <family val="2"/>
      </rPr>
      <t xml:space="preserve">个人合计折合（</t>
    </r>
    <r>
      <rPr>
        <sz val="10"/>
        <rFont val="Arial"/>
        <family val="0"/>
        <charset val="1"/>
      </rPr>
      <t xml:space="preserve">USD</t>
    </r>
    <r>
      <rPr>
        <sz val="10"/>
        <rFont val="WenQuanYi Zen Hei"/>
        <family val="2"/>
      </rPr>
      <t xml:space="preserve">）</t>
    </r>
  </si>
  <si>
    <r>
      <rPr>
        <i val="true"/>
        <sz val="9"/>
        <color rgb="FF595959"/>
        <rFont val="WenQuanYi Zen Hei"/>
        <family val="2"/>
      </rPr>
      <t xml:space="preserve">依据：关税 </t>
    </r>
    <r>
      <rPr>
        <i val="true"/>
        <sz val="9"/>
        <color rgb="FF595959"/>
        <rFont val="Arial"/>
        <family val="0"/>
        <charset val="1"/>
      </rPr>
      <t xml:space="preserve">15%</t>
    </r>
    <r>
      <rPr>
        <i val="true"/>
        <sz val="9"/>
        <color rgb="FF595959"/>
        <rFont val="WenQuanYi Zen Hei"/>
        <family val="2"/>
      </rPr>
      <t xml:space="preserve">（</t>
    </r>
    <r>
      <rPr>
        <i val="true"/>
        <sz val="9"/>
        <color rgb="FF595959"/>
        <rFont val="Arial"/>
        <family val="0"/>
        <charset val="1"/>
      </rPr>
      <t xml:space="preserve">S26, S27</t>
    </r>
    <r>
      <rPr>
        <i val="true"/>
        <sz val="9"/>
        <color rgb="FF595959"/>
        <rFont val="WenQuanYi Zen Hei"/>
        <family val="2"/>
      </rPr>
      <t xml:space="preserve">）；增值税 </t>
    </r>
    <r>
      <rPr>
        <i val="true"/>
        <sz val="9"/>
        <color rgb="FF595959"/>
        <rFont val="Arial"/>
        <family val="0"/>
        <charset val="1"/>
      </rPr>
      <t xml:space="preserve">20%</t>
    </r>
    <r>
      <rPr>
        <i val="true"/>
        <sz val="9"/>
        <color rgb="FF595959"/>
        <rFont val="WenQuanYi Zen Hei"/>
        <family val="2"/>
      </rPr>
      <t xml:space="preserve">（</t>
    </r>
    <r>
      <rPr>
        <i val="true"/>
        <sz val="9"/>
        <color rgb="FF595959"/>
        <rFont val="Arial"/>
        <family val="0"/>
        <charset val="1"/>
      </rPr>
      <t xml:space="preserve">S13, S11</t>
    </r>
    <r>
      <rPr>
        <i val="true"/>
        <sz val="9"/>
        <color rgb="FF595959"/>
        <rFont val="WenQuanYi Zen Hei"/>
        <family val="2"/>
      </rPr>
      <t xml:space="preserve">）；个人报废税（</t>
    </r>
    <r>
      <rPr>
        <i val="true"/>
        <sz val="9"/>
        <color rgb="FF595959"/>
        <rFont val="Arial"/>
        <family val="0"/>
        <charset val="1"/>
      </rPr>
      <t xml:space="preserve">S18, S24</t>
    </r>
    <r>
      <rPr>
        <i val="true"/>
        <sz val="9"/>
        <color rgb="FF595959"/>
        <rFont val="WenQuanYi Zen Hei"/>
        <family val="2"/>
      </rPr>
      <t xml:space="preserve">）。第 </t>
    </r>
    <r>
      <rPr>
        <i val="true"/>
        <sz val="9"/>
        <color rgb="FF595959"/>
        <rFont val="Arial"/>
        <family val="0"/>
        <charset val="1"/>
      </rPr>
      <t xml:space="preserve">24 </t>
    </r>
    <r>
      <rPr>
        <i val="true"/>
        <sz val="9"/>
        <color rgb="FF595959"/>
        <rFont val="WenQuanYi Zen Hei"/>
        <family val="2"/>
      </rPr>
      <t xml:space="preserve">行在四个场景中都是 </t>
    </r>
    <r>
      <rPr>
        <i val="true"/>
        <sz val="9"/>
        <color rgb="FF595959"/>
        <rFont val="Arial"/>
        <family val="0"/>
        <charset val="1"/>
      </rPr>
      <t xml:space="preserve">38.0%</t>
    </r>
    <r>
      <rPr>
        <i val="true"/>
        <sz val="9"/>
        <color rgb="FF595959"/>
        <rFont val="WenQuanYi Zen Hei"/>
        <family val="2"/>
      </rPr>
      <t xml:space="preserve">，说明车龄不改变增程式的关税和增值税税率。</t>
    </r>
  </si>
  <si>
    <t xml:space="preserve">同一辆新增程车：俄罗斯与白俄罗斯税费对比（估算）</t>
  </si>
  <si>
    <r>
      <rPr>
        <i val="true"/>
        <sz val="9"/>
        <color rgb="FF595959"/>
        <rFont val="WenQuanYi Zen Hei"/>
        <family val="2"/>
      </rPr>
      <t xml:space="preserve">俄罗斯报废税 </t>
    </r>
    <r>
      <rPr>
        <i val="true"/>
        <sz val="9"/>
        <color rgb="FF595959"/>
        <rFont val="Arial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基础额 </t>
    </r>
    <r>
      <rPr>
        <i val="true"/>
        <sz val="9"/>
        <color rgb="FF595959"/>
        <rFont val="Arial"/>
        <family val="0"/>
        <charset val="1"/>
      </rPr>
      <t xml:space="preserve">× </t>
    </r>
    <r>
      <rPr>
        <i val="true"/>
        <sz val="9"/>
        <color rgb="FF595959"/>
        <rFont val="WenQuanYi Zen Hei"/>
        <family val="2"/>
      </rPr>
      <t xml:space="preserve">系数（系数按功率、车龄查条例表格）；增程式个人进口只有 ≤</t>
    </r>
    <r>
      <rPr>
        <i val="true"/>
        <sz val="9"/>
        <color rgb="FF595959"/>
        <rFont val="Arial"/>
        <family val="0"/>
        <charset val="1"/>
      </rPr>
      <t xml:space="preserve">80 </t>
    </r>
    <r>
      <rPr>
        <i val="true"/>
        <sz val="9"/>
        <color rgb="FF595959"/>
        <rFont val="WenQuanYi Zen Hei"/>
        <family val="2"/>
      </rPr>
      <t xml:space="preserve">马力才适用优惠额。默认系数取 </t>
    </r>
    <r>
      <rPr>
        <i val="true"/>
        <sz val="9"/>
        <color rgb="FF595959"/>
        <rFont val="Arial"/>
        <family val="0"/>
        <charset val="1"/>
      </rPr>
      <t xml:space="preserve">TKS.RU </t>
    </r>
    <r>
      <rPr>
        <i val="true"/>
        <sz val="9"/>
        <color rgb="FF595959"/>
        <rFont val="WenQuanYi Zen Hei"/>
        <family val="2"/>
      </rPr>
      <t xml:space="preserve">报道的理想 </t>
    </r>
    <r>
      <rPr>
        <i val="true"/>
        <sz val="9"/>
        <color rgb="FF595959"/>
        <rFont val="Arial"/>
        <family val="0"/>
        <charset val="1"/>
      </rPr>
      <t xml:space="preserve">L7</t>
    </r>
    <r>
      <rPr>
        <i val="true"/>
        <sz val="9"/>
        <color rgb="FF595959"/>
        <rFont val="WenQuanYi Zen Hei"/>
        <family val="2"/>
      </rPr>
      <t xml:space="preserve">（</t>
    </r>
    <r>
      <rPr>
        <i val="true"/>
        <sz val="9"/>
        <color rgb="FF595959"/>
        <rFont val="Arial"/>
        <family val="0"/>
        <charset val="1"/>
      </rPr>
      <t xml:space="preserve">197 </t>
    </r>
    <r>
      <rPr>
        <i val="true"/>
        <sz val="9"/>
        <color rgb="FF595959"/>
        <rFont val="WenQuanYi Zen Hei"/>
        <family val="2"/>
      </rPr>
      <t xml:space="preserve">马力）</t>
    </r>
    <r>
      <rPr>
        <i val="true"/>
        <sz val="9"/>
        <color rgb="FF595959"/>
        <rFont val="Arial"/>
        <family val="0"/>
        <charset val="1"/>
      </rPr>
      <t xml:space="preserve">2026 </t>
    </r>
    <r>
      <rPr>
        <i val="true"/>
        <sz val="9"/>
        <color rgb="FF595959"/>
        <rFont val="WenQuanYi Zen Hei"/>
        <family val="2"/>
      </rPr>
      <t xml:space="preserve">年金额反推（</t>
    </r>
    <r>
      <rPr>
        <i val="true"/>
        <sz val="9"/>
        <color rgb="FF595959"/>
        <rFont val="Arial"/>
        <family val="0"/>
        <charset val="1"/>
      </rPr>
      <t xml:space="preserve">219.4 </t>
    </r>
    <r>
      <rPr>
        <i val="true"/>
        <sz val="9"/>
        <color rgb="FF595959"/>
        <rFont val="WenQuanYi Zen Hei"/>
        <family val="2"/>
      </rPr>
      <t xml:space="preserve">万 </t>
    </r>
    <r>
      <rPr>
        <i val="true"/>
        <sz val="9"/>
        <color rgb="FF595959"/>
        <rFont val="Arial"/>
        <family val="0"/>
        <charset val="1"/>
      </rPr>
      <t xml:space="preserve">÷ 2 </t>
    </r>
    <r>
      <rPr>
        <i val="true"/>
        <sz val="9"/>
        <color rgb="FF595959"/>
        <rFont val="WenQuanYi Zen Hei"/>
        <family val="2"/>
      </rPr>
      <t xml:space="preserve">万 </t>
    </r>
    <r>
      <rPr>
        <i val="true"/>
        <sz val="9"/>
        <color rgb="FF595959"/>
        <rFont val="Arial"/>
        <family val="0"/>
        <charset val="1"/>
      </rPr>
      <t xml:space="preserve">= 109.7</t>
    </r>
    <r>
      <rPr>
        <i val="true"/>
        <sz val="9"/>
        <color rgb="FF595959"/>
        <rFont val="WenQuanYi Zen Hei"/>
        <family val="2"/>
      </rPr>
      <t xml:space="preserve">），请按车型替换</t>
    </r>
  </si>
  <si>
    <r>
      <rPr>
        <sz val="10"/>
        <rFont val="WenQuanYi Zen Hei"/>
        <family val="2"/>
      </rPr>
      <t xml:space="preserve">完税价格（</t>
    </r>
    <r>
      <rPr>
        <sz val="10"/>
        <rFont val="Arial"/>
        <family val="0"/>
        <charset val="1"/>
      </rPr>
      <t xml:space="preserve">USD</t>
    </r>
    <r>
      <rPr>
        <sz val="10"/>
        <rFont val="WenQuanYi Zen Hei"/>
        <family val="2"/>
      </rPr>
      <t xml:space="preserve">）</t>
    </r>
  </si>
  <si>
    <t xml:space="preserve">取自“白俄税费测算”的新车场景</t>
  </si>
  <si>
    <r>
      <rPr>
        <sz val="10"/>
        <rFont val="WenQuanYi Zen Hei"/>
        <family val="2"/>
      </rPr>
      <t xml:space="preserve">汇率 </t>
    </r>
    <r>
      <rPr>
        <sz val="10"/>
        <rFont val="Arial"/>
        <family val="0"/>
        <charset val="1"/>
      </rPr>
      <t xml:space="preserve">RUB/USD</t>
    </r>
  </si>
  <si>
    <t xml:space="preserve">【示例值，非实时汇率】</t>
  </si>
  <si>
    <t xml:space="preserve">功率（马力）</t>
  </si>
  <si>
    <r>
      <rPr>
        <i val="true"/>
        <sz val="9"/>
        <color rgb="FF595959"/>
        <rFont val="WenQuanYi Zen Hei"/>
        <family val="2"/>
      </rPr>
      <t xml:space="preserve">消费税按车辆功率；报废税按电机 </t>
    </r>
    <r>
      <rPr>
        <i val="true"/>
        <sz val="9"/>
        <color rgb="FF595959"/>
        <rFont val="Arial"/>
        <family val="0"/>
        <charset val="1"/>
      </rPr>
      <t xml:space="preserve">30 </t>
    </r>
    <r>
      <rPr>
        <i val="true"/>
        <sz val="9"/>
        <color rgb="FF595959"/>
        <rFont val="WenQuanYi Zen Hei"/>
        <family val="2"/>
      </rPr>
      <t xml:space="preserve">分钟最大功率（以车辆证书为准），两者可能不同</t>
    </r>
  </si>
  <si>
    <r>
      <rPr>
        <sz val="10"/>
        <rFont val="WenQuanYi Zen Hei"/>
        <family val="2"/>
      </rPr>
      <t xml:space="preserve">消费税 </t>
    </r>
    <r>
      <rPr>
        <sz val="10"/>
        <rFont val="Arial"/>
        <family val="0"/>
        <charset val="1"/>
      </rPr>
      <t xml:space="preserve">400–500 </t>
    </r>
    <r>
      <rPr>
        <sz val="10"/>
        <rFont val="WenQuanYi Zen Hei"/>
        <family val="2"/>
      </rPr>
      <t xml:space="preserve">马力档单价（卢布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马力）</t>
    </r>
  </si>
  <si>
    <r>
      <rPr>
        <i val="true"/>
        <sz val="9"/>
        <color rgb="FF595959"/>
        <rFont val="WenQuanYi Zen Hei"/>
        <family val="2"/>
      </rPr>
      <t xml:space="preserve">本档 </t>
    </r>
    <r>
      <rPr>
        <i val="true"/>
        <sz val="9"/>
        <color rgb="FF595959"/>
        <rFont val="Arial"/>
        <family val="0"/>
        <charset val="1"/>
      </rPr>
      <t xml:space="preserve">2026 </t>
    </r>
    <r>
      <rPr>
        <i val="true"/>
        <sz val="9"/>
        <color rgb="FF595959"/>
        <rFont val="WenQuanYi Zen Hei"/>
        <family val="2"/>
      </rPr>
      <t xml:space="preserve">年单价未独立核实，功率在该档时请手工填写</t>
    </r>
  </si>
  <si>
    <t xml:space="preserve">车龄（年）</t>
  </si>
  <si>
    <r>
      <rPr>
        <i val="true"/>
        <sz val="9"/>
        <color rgb="FF595959"/>
        <rFont val="WenQuanYi Zen Hei"/>
        <family val="2"/>
      </rPr>
      <t xml:space="preserve">影响个人优惠额（≤</t>
    </r>
    <r>
      <rPr>
        <i val="true"/>
        <sz val="9"/>
        <color rgb="FF595959"/>
        <rFont val="Arial"/>
        <family val="0"/>
        <charset val="1"/>
      </rPr>
      <t xml:space="preserve">3 </t>
    </r>
    <r>
      <rPr>
        <i val="true"/>
        <sz val="9"/>
        <color rgb="FF595959"/>
        <rFont val="WenQuanYi Zen Hei"/>
        <family val="2"/>
      </rPr>
      <t xml:space="preserve">年 </t>
    </r>
    <r>
      <rPr>
        <i val="true"/>
        <sz val="9"/>
        <color rgb="FF595959"/>
        <rFont val="Arial"/>
        <family val="0"/>
        <charset val="1"/>
      </rPr>
      <t xml:space="preserve">3,400</t>
    </r>
    <r>
      <rPr>
        <i val="true"/>
        <sz val="9"/>
        <color rgb="FF595959"/>
        <rFont val="WenQuanYi Zen Hei"/>
        <family val="2"/>
      </rPr>
      <t xml:space="preserve">；</t>
    </r>
    <r>
      <rPr>
        <i val="true"/>
        <sz val="9"/>
        <color rgb="FF595959"/>
        <rFont val="Arial"/>
        <family val="0"/>
        <charset val="1"/>
      </rPr>
      <t xml:space="preserve">&gt;3 </t>
    </r>
    <r>
      <rPr>
        <i val="true"/>
        <sz val="9"/>
        <color rgb="FF595959"/>
        <rFont val="WenQuanYi Zen Hei"/>
        <family val="2"/>
      </rPr>
      <t xml:space="preserve">年 </t>
    </r>
    <r>
      <rPr>
        <i val="true"/>
        <sz val="9"/>
        <color rgb="FF595959"/>
        <rFont val="Arial"/>
        <family val="0"/>
        <charset val="1"/>
      </rPr>
      <t xml:space="preserve">5,200</t>
    </r>
    <r>
      <rPr>
        <i val="true"/>
        <sz val="9"/>
        <color rgb="FF595959"/>
        <rFont val="WenQuanYi Zen Hei"/>
        <family val="2"/>
      </rPr>
      <t xml:space="preserve">）和商业系数</t>
    </r>
  </si>
  <si>
    <t xml:space="preserve">报废税基础额（卢布）</t>
  </si>
  <si>
    <r>
      <rPr>
        <i val="true"/>
        <sz val="9"/>
        <color rgb="FF595959"/>
        <rFont val="WenQuanYi Zen Hei"/>
        <family val="2"/>
      </rPr>
      <t xml:space="preserve">第 </t>
    </r>
    <r>
      <rPr>
        <i val="true"/>
        <sz val="9"/>
        <color rgb="FF595959"/>
        <rFont val="Arial"/>
        <family val="0"/>
        <charset val="1"/>
      </rPr>
      <t xml:space="preserve">1291 </t>
    </r>
    <r>
      <rPr>
        <i val="true"/>
        <sz val="9"/>
        <color rgb="FF595959"/>
        <rFont val="WenQuanYi Zen Hei"/>
        <family val="2"/>
      </rPr>
      <t xml:space="preserve">号政府决定</t>
    </r>
  </si>
  <si>
    <t xml:space="preserve">报废税系数（商业）</t>
  </si>
  <si>
    <r>
      <rPr>
        <i val="true"/>
        <sz val="9"/>
        <color rgb="FF595959"/>
        <rFont val="WenQuanYi Zen Hei"/>
        <family val="2"/>
      </rPr>
      <t xml:space="preserve">按功率、车龄查表；默认值为理想 </t>
    </r>
    <r>
      <rPr>
        <i val="true"/>
        <sz val="9"/>
        <color rgb="FF595959"/>
        <rFont val="Arial"/>
        <family val="0"/>
        <charset val="1"/>
      </rPr>
      <t xml:space="preserve">L7 </t>
    </r>
    <r>
      <rPr>
        <i val="true"/>
        <sz val="9"/>
        <color rgb="FF595959"/>
        <rFont val="WenQuanYi Zen Hei"/>
        <family val="2"/>
      </rPr>
      <t xml:space="preserve">金额反推；新车 </t>
    </r>
    <r>
      <rPr>
        <i val="true"/>
        <sz val="9"/>
        <color rgb="FF595959"/>
        <rFont val="Arial"/>
        <family val="0"/>
        <charset val="1"/>
      </rPr>
      <t xml:space="preserve">&gt;205.95 </t>
    </r>
    <r>
      <rPr>
        <i val="true"/>
        <sz val="9"/>
        <color rgb="FF595959"/>
        <rFont val="WenQuanYi Zen Hei"/>
        <family val="2"/>
      </rPr>
      <t xml:space="preserve">千瓦为 </t>
    </r>
    <r>
      <rPr>
        <i val="true"/>
        <sz val="9"/>
        <color rgb="FF595959"/>
        <rFont val="Arial"/>
        <family val="0"/>
        <charset val="1"/>
      </rPr>
      <t xml:space="preserve">152</t>
    </r>
  </si>
  <si>
    <t xml:space="preserve">俄罗斯增值税税率</t>
  </si>
  <si>
    <r>
      <rPr>
        <i val="true"/>
        <sz val="9"/>
        <color rgb="FF595959"/>
        <rFont val="Arial"/>
        <family val="0"/>
        <charset val="1"/>
      </rPr>
      <t xml:space="preserve">2026-01-01 </t>
    </r>
    <r>
      <rPr>
        <i val="true"/>
        <sz val="9"/>
        <color rgb="FF595959"/>
        <rFont val="WenQuanYi Zen Hei"/>
        <family val="2"/>
      </rPr>
      <t xml:space="preserve">起</t>
    </r>
  </si>
  <si>
    <t xml:space="preserve">关税税率</t>
  </si>
  <si>
    <t xml:space="preserve">与白俄相同</t>
  </si>
  <si>
    <t xml:space="preserve">俄罗斯（卢布，个人自用进口）</t>
  </si>
  <si>
    <r>
      <rPr>
        <sz val="10"/>
        <rFont val="WenQuanYi Zen Hei"/>
        <family val="2"/>
      </rPr>
      <t xml:space="preserve">消费税单价（卢布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马力）</t>
    </r>
  </si>
  <si>
    <t xml:space="preserve">俄罗斯应缴合计</t>
  </si>
  <si>
    <t xml:space="preserve">俄罗斯合计占完税价格</t>
  </si>
  <si>
    <t xml:space="preserve">白俄罗斯（同一辆车，个人，新车）</t>
  </si>
  <si>
    <r>
      <rPr>
        <b val="true"/>
        <sz val="10"/>
        <rFont val="WenQuanYi Zen Hei"/>
        <family val="2"/>
      </rPr>
      <t xml:space="preserve">白俄应缴合计（</t>
    </r>
    <r>
      <rPr>
        <b val="true"/>
        <sz val="10"/>
        <rFont val="Arial"/>
        <family val="0"/>
        <charset val="1"/>
      </rPr>
      <t xml:space="preserve">BYN</t>
    </r>
    <r>
      <rPr>
        <b val="true"/>
        <sz val="10"/>
        <rFont val="WenQuanYi Zen Hei"/>
        <family val="2"/>
      </rPr>
      <t xml:space="preserve">）</t>
    </r>
  </si>
  <si>
    <t xml:space="preserve">白俄合计占完税价格</t>
  </si>
  <si>
    <r>
      <rPr>
        <b val="true"/>
        <sz val="10"/>
        <rFont val="WenQuanYi Zen Hei"/>
        <family val="2"/>
      </rPr>
      <t xml:space="preserve">俄罗斯合计占比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白俄合计占比（倍）</t>
    </r>
  </si>
  <si>
    <t xml:space="preserve">分项差异（占完税价格）</t>
  </si>
  <si>
    <t xml:space="preserve">关税</t>
  </si>
  <si>
    <r>
      <rPr>
        <i val="true"/>
        <sz val="9"/>
        <color rgb="FF595959"/>
        <rFont val="WenQuanYi Zen Hei"/>
        <family val="2"/>
      </rPr>
      <t xml:space="preserve">依据：增值税 </t>
    </r>
    <r>
      <rPr>
        <i val="true"/>
        <sz val="9"/>
        <color rgb="FF595959"/>
        <rFont val="Arial"/>
        <family val="0"/>
        <charset val="1"/>
      </rPr>
      <t xml:space="preserve">22%</t>
    </r>
    <r>
      <rPr>
        <i val="true"/>
        <sz val="9"/>
        <color rgb="FF595959"/>
        <rFont val="WenQuanYi Zen Hei"/>
        <family val="2"/>
      </rPr>
      <t xml:space="preserve">（</t>
    </r>
    <r>
      <rPr>
        <i val="true"/>
        <sz val="9"/>
        <color rgb="FF595959"/>
        <rFont val="Arial"/>
        <family val="0"/>
        <charset val="1"/>
      </rPr>
      <t xml:space="preserve">S33, S34</t>
    </r>
    <r>
      <rPr>
        <i val="true"/>
        <sz val="9"/>
        <color rgb="FF595959"/>
        <rFont val="WenQuanYi Zen Hei"/>
        <family val="2"/>
      </rPr>
      <t xml:space="preserve">）；消费税 </t>
    </r>
    <r>
      <rPr>
        <i val="true"/>
        <sz val="9"/>
        <color rgb="FF595959"/>
        <rFont val="Arial"/>
        <family val="0"/>
        <charset val="1"/>
      </rPr>
      <t xml:space="preserve">2026 </t>
    </r>
    <r>
      <rPr>
        <i val="true"/>
        <sz val="9"/>
        <color rgb="FF595959"/>
        <rFont val="WenQuanYi Zen Hei"/>
        <family val="2"/>
      </rPr>
      <t xml:space="preserve">年档位（</t>
    </r>
    <r>
      <rPr>
        <i val="true"/>
        <sz val="9"/>
        <color rgb="FF595959"/>
        <rFont val="Arial"/>
        <family val="0"/>
        <charset val="1"/>
      </rPr>
      <t xml:space="preserve">S43, S44, S35</t>
    </r>
    <r>
      <rPr>
        <i val="true"/>
        <sz val="9"/>
        <color rgb="FF595959"/>
        <rFont val="WenQuanYi Zen Hei"/>
        <family val="2"/>
      </rPr>
      <t xml:space="preserve">）；报废税规则、</t>
    </r>
    <r>
      <rPr>
        <i val="true"/>
        <sz val="9"/>
        <color rgb="FF595959"/>
        <rFont val="Arial"/>
        <family val="0"/>
        <charset val="1"/>
      </rPr>
      <t xml:space="preserve">80 </t>
    </r>
    <r>
      <rPr>
        <i val="true"/>
        <sz val="9"/>
        <color rgb="FF595959"/>
        <rFont val="WenQuanYi Zen Hei"/>
        <family val="2"/>
      </rPr>
      <t xml:space="preserve">马力门槛和系数（</t>
    </r>
    <r>
      <rPr>
        <i val="true"/>
        <sz val="9"/>
        <color rgb="FF595959"/>
        <rFont val="Arial"/>
        <family val="0"/>
        <charset val="1"/>
      </rPr>
      <t xml:space="preserve">S37, S46, S47, S49</t>
    </r>
    <r>
      <rPr>
        <i val="true"/>
        <sz val="9"/>
        <color rgb="FF595959"/>
        <rFont val="WenQuanYi Zen Hei"/>
        <family val="2"/>
      </rPr>
      <t xml:space="preserve">）；个人进口电动机驱动车辆按 </t>
    </r>
    <r>
      <rPr>
        <i val="true"/>
        <sz val="9"/>
        <color rgb="FF595959"/>
        <rFont val="Arial"/>
        <family val="0"/>
        <charset val="1"/>
      </rPr>
      <t xml:space="preserve">15% + </t>
    </r>
    <r>
      <rPr>
        <i val="true"/>
        <sz val="9"/>
        <color rgb="FF595959"/>
        <rFont val="WenQuanYi Zen Hei"/>
        <family val="2"/>
      </rPr>
      <t xml:space="preserve">消费税 </t>
    </r>
    <r>
      <rPr>
        <i val="true"/>
        <sz val="9"/>
        <color rgb="FF595959"/>
        <rFont val="Arial"/>
        <family val="0"/>
        <charset val="1"/>
      </rPr>
      <t xml:space="preserve">+ </t>
    </r>
    <r>
      <rPr>
        <i val="true"/>
        <sz val="9"/>
        <color rgb="FF595959"/>
        <rFont val="WenQuanYi Zen Hei"/>
        <family val="2"/>
      </rPr>
      <t xml:space="preserve">增值税计（</t>
    </r>
    <r>
      <rPr>
        <i val="true"/>
        <sz val="9"/>
        <color rgb="FF595959"/>
        <rFont val="Arial"/>
        <family val="0"/>
        <charset val="1"/>
      </rPr>
      <t xml:space="preserve">S32</t>
    </r>
    <r>
      <rPr>
        <i val="true"/>
        <sz val="9"/>
        <color rgb="FF595959"/>
        <rFont val="WenQuanYi Zen Hei"/>
        <family val="2"/>
      </rPr>
      <t xml:space="preserve">）。报废税和消费税是按卢布定额的，汇率输入值会影响俄罗斯的占比。</t>
    </r>
  </si>
  <si>
    <t xml:space="preserve">论证思路与数据来源</t>
  </si>
  <si>
    <r>
      <rPr>
        <i val="true"/>
        <sz val="9"/>
        <color rgb="FF595959"/>
        <rFont val="WenQuanYi Zen Hei"/>
        <family val="2"/>
      </rPr>
      <t xml:space="preserve">先确定归类，再推出计税方式，最后分析个人</t>
    </r>
    <r>
      <rPr>
        <i val="true"/>
        <sz val="9"/>
        <color rgb="FF595959"/>
        <rFont val="Arial"/>
        <family val="0"/>
        <charset val="1"/>
      </rPr>
      <t xml:space="preserve">/</t>
    </r>
    <r>
      <rPr>
        <i val="true"/>
        <sz val="9"/>
        <color rgb="FF595959"/>
        <rFont val="WenQuanYi Zen Hei"/>
        <family val="2"/>
      </rPr>
      <t xml:space="preserve">法人、车龄和国别差异；每一步都给出证据和来源</t>
    </r>
  </si>
  <si>
    <t xml:space="preserve">一、论证链条</t>
  </si>
  <si>
    <t xml:space="preserve">步骤</t>
  </si>
  <si>
    <t xml:space="preserve">论点</t>
  </si>
  <si>
    <t xml:space="preserve">证据</t>
  </si>
  <si>
    <t xml:space="preserve">推理与说明</t>
  </si>
  <si>
    <r>
      <rPr>
        <sz val="10"/>
        <rFont val="WenQuanYi Zen Hei"/>
        <family val="2"/>
      </rPr>
      <t xml:space="preserve">增程式 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年起单独归入 </t>
    </r>
    <r>
      <rPr>
        <sz val="10"/>
        <rFont val="Arial"/>
        <family val="0"/>
        <charset val="1"/>
      </rPr>
      <t xml:space="preserve">8703 80 000 5</t>
    </r>
    <r>
      <rPr>
        <sz val="10"/>
        <rFont val="WenQuanYi Zen Hei"/>
        <family val="2"/>
      </rPr>
      <t xml:space="preserve">，不再算电动车</t>
    </r>
  </si>
  <si>
    <r>
      <rPr>
        <sz val="10"/>
        <rFont val="Arial"/>
        <family val="0"/>
        <charset val="1"/>
      </rPr>
      <t xml:space="preserve">ГТК </t>
    </r>
    <r>
      <rPr>
        <sz val="10"/>
        <rFont val="WenQuanYi Zen Hei"/>
        <family val="2"/>
      </rPr>
      <t xml:space="preserve">通告：</t>
    </r>
    <r>
      <rPr>
        <sz val="10"/>
        <rFont val="Arial"/>
        <family val="0"/>
        <charset val="1"/>
      </rPr>
      <t xml:space="preserve">EEC </t>
    </r>
    <r>
      <rPr>
        <sz val="10"/>
        <rFont val="WenQuanYi Zen Hei"/>
        <family val="2"/>
      </rPr>
      <t xml:space="preserve">委员会 </t>
    </r>
    <r>
      <rPr>
        <sz val="10"/>
        <rFont val="Arial"/>
        <family val="0"/>
        <charset val="1"/>
      </rPr>
      <t xml:space="preserve">2025-09-23 </t>
    </r>
    <r>
      <rPr>
        <sz val="10"/>
        <rFont val="WenQuanYi Zen Hei"/>
        <family val="2"/>
      </rPr>
      <t xml:space="preserve">第 </t>
    </r>
    <r>
      <rPr>
        <sz val="10"/>
        <rFont val="Arial"/>
        <family val="0"/>
        <charset val="1"/>
      </rPr>
      <t xml:space="preserve">81 </t>
    </r>
    <r>
      <rPr>
        <sz val="10"/>
        <rFont val="WenQuanYi Zen Hei"/>
        <family val="2"/>
      </rPr>
      <t xml:space="preserve">号决定细分 </t>
    </r>
    <r>
      <rPr>
        <sz val="10"/>
        <rFont val="Arial"/>
        <family val="0"/>
        <charset val="1"/>
      </rPr>
      <t xml:space="preserve">8703 80 000</t>
    </r>
    <r>
      <rPr>
        <sz val="10"/>
        <rFont val="WenQuanYi Zen Hei"/>
        <family val="2"/>
      </rPr>
      <t xml:space="preserve">；“电动车”仅指不含任何类型混动装置的纯电车；</t>
    </r>
    <r>
      <rPr>
        <sz val="10"/>
        <rFont val="Arial"/>
        <family val="0"/>
        <charset val="1"/>
      </rPr>
      <t xml:space="preserve">Alta </t>
    </r>
    <r>
      <rPr>
        <sz val="10"/>
        <rFont val="WenQuanYi Zen Hei"/>
        <family val="2"/>
      </rPr>
      <t xml:space="preserve">列出新子目 </t>
    </r>
    <r>
      <rPr>
        <sz val="10"/>
        <rFont val="Arial"/>
        <family val="0"/>
        <charset val="1"/>
      </rPr>
      <t xml:space="preserve">3 / 4 / 5 / 8</t>
    </r>
    <r>
      <rPr>
        <sz val="10"/>
        <rFont val="WenQuanYi Zen Hei"/>
        <family val="2"/>
      </rPr>
      <t xml:space="preserve">，税率均为 </t>
    </r>
    <r>
      <rPr>
        <sz val="10"/>
        <rFont val="Arial"/>
        <family val="0"/>
        <charset val="1"/>
      </rPr>
      <t xml:space="preserve">15%</t>
    </r>
  </si>
  <si>
    <t xml:space="preserve">归类决定适用的规则，所以必须先确定。编码变化后，所有与“电动车”挂钩的优惠自动不再覆盖增程式</t>
  </si>
  <si>
    <r>
      <rPr>
        <sz val="10"/>
        <rFont val="WenQuanYi Zen Hei"/>
        <family val="2"/>
      </rPr>
      <t xml:space="preserve">增程式的关税为 </t>
    </r>
    <r>
      <rPr>
        <sz val="10"/>
        <rFont val="Arial"/>
        <family val="0"/>
        <charset val="1"/>
      </rPr>
      <t xml:space="preserve">15%</t>
    </r>
    <r>
      <rPr>
        <sz val="10"/>
        <rFont val="WenQuanYi Zen Hei"/>
        <family val="2"/>
      </rPr>
      <t xml:space="preserve">，增值税为 </t>
    </r>
    <r>
      <rPr>
        <sz val="10"/>
        <rFont val="Arial"/>
        <family val="0"/>
        <charset val="1"/>
      </rPr>
      <t xml:space="preserve">20%</t>
    </r>
    <r>
      <rPr>
        <sz val="10"/>
        <rFont val="WenQuanYi Zen Hei"/>
        <family val="2"/>
      </rPr>
      <t xml:space="preserve">，个人和法人一样</t>
    </r>
  </si>
  <si>
    <r>
      <rPr>
        <sz val="10"/>
        <rFont val="Arial"/>
        <family val="0"/>
        <charset val="1"/>
      </rPr>
      <t xml:space="preserve">ГТК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2025-12</t>
    </r>
    <r>
      <rPr>
        <sz val="10"/>
        <rFont val="WenQuanYi Zen Hei"/>
        <family val="2"/>
      </rPr>
      <t xml:space="preserve">）：个人进口任何混动车（含增程式）按 </t>
    </r>
    <r>
      <rPr>
        <sz val="10"/>
        <rFont val="Arial"/>
        <family val="0"/>
        <charset val="1"/>
      </rPr>
      <t xml:space="preserve">20% </t>
    </r>
    <r>
      <rPr>
        <sz val="10"/>
        <rFont val="WenQuanYi Zen Hei"/>
        <family val="2"/>
      </rPr>
      <t xml:space="preserve">增值税计算，增程式适用 </t>
    </r>
    <r>
      <rPr>
        <sz val="10"/>
        <rFont val="Arial"/>
        <family val="0"/>
        <charset val="1"/>
      </rPr>
      <t xml:space="preserve">15% </t>
    </r>
    <r>
      <rPr>
        <sz val="10"/>
        <rFont val="WenQuanYi Zen Hei"/>
        <family val="2"/>
      </rPr>
      <t xml:space="preserve">关税；总统令第 </t>
    </r>
    <r>
      <rPr>
        <sz val="10"/>
        <rFont val="Arial"/>
        <family val="0"/>
        <charset val="1"/>
      </rPr>
      <t xml:space="preserve">428 </t>
    </r>
    <r>
      <rPr>
        <sz val="10"/>
        <rFont val="WenQuanYi Zen Hei"/>
        <family val="2"/>
      </rPr>
      <t xml:space="preserve">号取消混动车的增值税优惠；</t>
    </r>
    <r>
      <rPr>
        <sz val="10"/>
        <rFont val="Arial"/>
        <family val="0"/>
        <charset val="1"/>
      </rPr>
      <t xml:space="preserve">BelTA </t>
    </r>
    <r>
      <rPr>
        <sz val="10"/>
        <rFont val="WenQuanYi Zen Hei"/>
        <family val="2"/>
      </rPr>
      <t xml:space="preserve">按 </t>
    </r>
    <r>
      <rPr>
        <sz val="10"/>
        <rFont val="Arial"/>
        <family val="0"/>
        <charset val="1"/>
      </rPr>
      <t xml:space="preserve">1.15 × 1.20 </t>
    </r>
    <r>
      <rPr>
        <sz val="10"/>
        <rFont val="WenQuanYi Zen Hei"/>
        <family val="2"/>
      </rPr>
      <t xml:space="preserve">算出涨价 </t>
    </r>
    <r>
      <rPr>
        <sz val="10"/>
        <rFont val="Arial"/>
        <family val="0"/>
        <charset val="1"/>
      </rPr>
      <t xml:space="preserve">38%</t>
    </r>
    <r>
      <rPr>
        <sz val="10"/>
        <rFont val="WenQuanYi Zen Hei"/>
        <family val="2"/>
      </rPr>
      <t xml:space="preserve">，并说明个人和法人都受影响</t>
    </r>
  </si>
  <si>
    <t xml:space="preserve">S13, S11, S22, S21</t>
  </si>
  <si>
    <r>
      <rPr>
        <sz val="10"/>
        <rFont val="WenQuanYi Zen Hei"/>
        <family val="2"/>
      </rPr>
      <t xml:space="preserve">多个白俄官方来源一致；</t>
    </r>
    <r>
      <rPr>
        <sz val="10"/>
        <rFont val="Arial"/>
        <family val="0"/>
        <charset val="1"/>
      </rPr>
      <t xml:space="preserve">38% </t>
    </r>
    <r>
      <rPr>
        <sz val="10"/>
        <rFont val="WenQuanYi Zen Hei"/>
        <family val="2"/>
      </rPr>
      <t xml:space="preserve">可以由 </t>
    </r>
    <r>
      <rPr>
        <sz val="10"/>
        <rFont val="Arial"/>
        <family val="0"/>
        <charset val="1"/>
      </rPr>
      <t xml:space="preserve">15% </t>
    </r>
    <r>
      <rPr>
        <sz val="10"/>
        <rFont val="WenQuanYi Zen Hei"/>
        <family val="2"/>
      </rPr>
      <t xml:space="preserve">和 </t>
    </r>
    <r>
      <rPr>
        <sz val="10"/>
        <rFont val="Arial"/>
        <family val="0"/>
        <charset val="1"/>
      </rPr>
      <t xml:space="preserve">20% </t>
    </r>
    <r>
      <rPr>
        <sz val="10"/>
        <rFont val="WenQuanYi Zen Hei"/>
        <family val="2"/>
      </rPr>
      <t xml:space="preserve">精确复算，互相印证</t>
    </r>
  </si>
  <si>
    <t xml:space="preserve">车龄不改变增程式的税率</t>
  </si>
  <si>
    <r>
      <rPr>
        <sz val="10"/>
        <rFont val="Arial"/>
        <family val="0"/>
        <charset val="1"/>
      </rPr>
      <t xml:space="preserve">8703 80 000 5 </t>
    </r>
    <r>
      <rPr>
        <sz val="10"/>
        <rFont val="WenQuanYi Zen Hei"/>
        <family val="2"/>
      </rPr>
      <t xml:space="preserve">只有一个 </t>
    </r>
    <r>
      <rPr>
        <sz val="10"/>
        <rFont val="Arial"/>
        <family val="0"/>
        <charset val="1"/>
      </rPr>
      <t xml:space="preserve">15% </t>
    </r>
    <r>
      <rPr>
        <sz val="10"/>
        <rFont val="WenQuanYi Zen Hei"/>
        <family val="2"/>
      </rPr>
      <t xml:space="preserve">从价税率，没有按车龄分的子目；个人统一税率（第 </t>
    </r>
    <r>
      <rPr>
        <sz val="10"/>
        <rFont val="Arial"/>
        <family val="0"/>
        <charset val="1"/>
      </rPr>
      <t xml:space="preserve">107 </t>
    </r>
    <r>
      <rPr>
        <sz val="10"/>
        <rFont val="WenQuanYi Zen Hei"/>
        <family val="2"/>
      </rPr>
      <t xml:space="preserve">号决定）是按发动机排量和车龄设计的，而 </t>
    </r>
    <r>
      <rPr>
        <sz val="10"/>
        <rFont val="Arial"/>
        <family val="0"/>
        <charset val="1"/>
      </rPr>
      <t xml:space="preserve">8703 80 </t>
    </r>
    <r>
      <rPr>
        <sz val="10"/>
        <rFont val="WenQuanYi Zen Hei"/>
        <family val="2"/>
      </rPr>
      <t xml:space="preserve">项下车辆按关税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增值税计算</t>
    </r>
  </si>
  <si>
    <t xml:space="preserve">S26, S27, S30, S32</t>
  </si>
  <si>
    <t xml:space="preserve">所以车龄只能通过完税价格和报废税档位影响总额。这一点对燃油车和并联混动不成立</t>
  </si>
  <si>
    <t xml:space="preserve">个人与法人的差别在报废税和增值税抵扣</t>
  </si>
  <si>
    <r>
      <rPr>
        <sz val="10"/>
        <rFont val="WenQuanYi Zen Hei"/>
        <family val="2"/>
      </rPr>
      <t xml:space="preserve">部长会议第 </t>
    </r>
    <r>
      <rPr>
        <sz val="10"/>
        <rFont val="Arial"/>
        <family val="0"/>
        <charset val="1"/>
      </rPr>
      <t xml:space="preserve">195 </t>
    </r>
    <r>
      <rPr>
        <sz val="10"/>
        <rFont val="WenQuanYi Zen Hei"/>
        <family val="2"/>
      </rPr>
      <t xml:space="preserve">号决议：个人 </t>
    </r>
    <r>
      <rPr>
        <sz val="10"/>
        <rFont val="Arial"/>
        <family val="0"/>
        <charset val="1"/>
      </rPr>
      <t xml:space="preserve">M1 </t>
    </r>
    <r>
      <rPr>
        <sz val="10"/>
        <rFont val="WenQuanYi Zen Hei"/>
        <family val="2"/>
      </rPr>
      <t xml:space="preserve">类车报废税为固定额，不论动力类型；法人按类型和车龄分档，混动和电动 </t>
    </r>
    <r>
      <rPr>
        <sz val="10"/>
        <rFont val="Arial"/>
        <family val="0"/>
        <charset val="1"/>
      </rPr>
      <t xml:space="preserve">M1 </t>
    </r>
    <r>
      <rPr>
        <sz val="10"/>
        <rFont val="WenQuanYi Zen Hei"/>
        <family val="2"/>
      </rPr>
      <t xml:space="preserve">车不适用优惠税率。增值税进项抵扣是一般税务规则</t>
    </r>
  </si>
  <si>
    <t xml:space="preserve">法人具体报废税额未取得，测算器中留为输入项</t>
  </si>
  <si>
    <t xml:space="preserve">绕道其他成员国的路径基本被封堵</t>
  </si>
  <si>
    <t xml:space="preserve">亚美尼亚、吉尔吉斯斯坦的配额虽然覆盖增程式，但禁止把优惠车辆转让给白俄、俄、哈的公民或居民；从成员国输入的车辆在白俄仍需缴报废税</t>
  </si>
  <si>
    <t xml:space="preserve">S16, S23, S20</t>
  </si>
  <si>
    <t xml:space="preserve">政策设计明确防止套利</t>
  </si>
  <si>
    <t xml:space="preserve">与俄罗斯相比，白俄对增程式的税负明显更低</t>
  </si>
  <si>
    <r>
      <rPr>
        <sz val="10"/>
        <rFont val="WenQuanYi Zen Hei"/>
        <family val="2"/>
      </rPr>
      <t xml:space="preserve">关税相同；俄罗斯增值税 </t>
    </r>
    <r>
      <rPr>
        <sz val="10"/>
        <rFont val="Arial"/>
        <family val="0"/>
        <charset val="1"/>
      </rPr>
      <t xml:space="preserve">22%</t>
    </r>
    <r>
      <rPr>
        <sz val="10"/>
        <rFont val="WenQuanYi Zen Hei"/>
        <family val="2"/>
      </rPr>
      <t xml:space="preserve">、按马力征收消费税、报废税与功率挂钩，且增程式个人优惠门槛仅 </t>
    </r>
    <r>
      <rPr>
        <sz val="10"/>
        <rFont val="Arial"/>
        <family val="0"/>
        <charset val="1"/>
      </rPr>
      <t xml:space="preserve">80 </t>
    </r>
    <r>
      <rPr>
        <sz val="10"/>
        <rFont val="WenQuanYi Zen Hei"/>
        <family val="2"/>
      </rPr>
      <t xml:space="preserve">马力（理想 </t>
    </r>
    <r>
      <rPr>
        <sz val="10"/>
        <rFont val="Arial"/>
        <family val="0"/>
        <charset val="1"/>
      </rPr>
      <t xml:space="preserve">L7 </t>
    </r>
    <r>
      <rPr>
        <sz val="10"/>
        <rFont val="WenQuanYi Zen Hei"/>
        <family val="2"/>
      </rPr>
      <t xml:space="preserve">例：约 </t>
    </r>
    <r>
      <rPr>
        <sz val="10"/>
        <rFont val="Arial"/>
        <family val="0"/>
        <charset val="1"/>
      </rPr>
      <t xml:space="preserve">219.4 </t>
    </r>
    <r>
      <rPr>
        <sz val="10"/>
        <rFont val="WenQuanYi Zen Hei"/>
        <family val="2"/>
      </rPr>
      <t xml:space="preserve">万卢布）</t>
    </r>
  </si>
  <si>
    <t xml:space="preserve">S33, S39, S43, S37, S46, S49</t>
  </si>
  <si>
    <r>
      <rPr>
        <sz val="10"/>
        <rFont val="WenQuanYi Zen Hei"/>
        <family val="2"/>
      </rPr>
      <t xml:space="preserve">各差异项已逐项核实（见“白俄与俄罗斯对比”的“核实结果”列）；理想 </t>
    </r>
    <r>
      <rPr>
        <sz val="10"/>
        <rFont val="Arial"/>
        <family val="0"/>
        <charset val="1"/>
      </rPr>
      <t xml:space="preserve">L7 </t>
    </r>
    <r>
      <rPr>
        <sz val="10"/>
        <rFont val="WenQuanYi Zen Hei"/>
        <family val="2"/>
      </rPr>
      <t xml:space="preserve">的具体金额只见于 </t>
    </r>
    <r>
      <rPr>
        <sz val="10"/>
        <rFont val="Arial"/>
        <family val="0"/>
        <charset val="1"/>
      </rPr>
      <t xml:space="preserve">TKS.RU</t>
    </r>
    <r>
      <rPr>
        <sz val="10"/>
        <rFont val="WenQuanYi Zen Hei"/>
        <family val="2"/>
      </rPr>
      <t xml:space="preserve">，测算器中可替换</t>
    </r>
  </si>
  <si>
    <t xml:space="preserve">二、局限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</si>
  <si>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运行环境无法直接打开白俄和俄罗斯网站，所有数据都来自搜索引擎的索引摘要；报关前请用 </t>
    </r>
    <r>
      <rPr>
        <sz val="10"/>
        <rFont val="Arial"/>
        <family val="0"/>
        <charset val="1"/>
      </rPr>
      <t xml:space="preserve">ГТК </t>
    </r>
    <r>
      <rPr>
        <sz val="10"/>
        <rFont val="WenQuanYi Zen Hei"/>
        <family val="2"/>
      </rPr>
      <t xml:space="preserve">计算器 </t>
    </r>
    <r>
      <rPr>
        <sz val="10"/>
        <rFont val="Arial"/>
        <family val="0"/>
        <charset val="1"/>
      </rPr>
      <t xml:space="preserve">customs.gov.by/calc </t>
    </r>
    <r>
      <rPr>
        <sz val="10"/>
        <rFont val="WenQuanYi Zen Hei"/>
        <family val="2"/>
      </rPr>
      <t xml:space="preserve">核实。</t>
    </r>
  </si>
  <si>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未取得的数据：白俄法人报废税具体金额、海关手续费金额、俄罗斯 </t>
    </r>
    <r>
      <rPr>
        <sz val="10"/>
        <rFont val="Arial"/>
        <family val="0"/>
        <charset val="1"/>
      </rPr>
      <t xml:space="preserve">400–500 </t>
    </r>
    <r>
      <rPr>
        <sz val="10"/>
        <rFont val="WenQuanYi Zen Hei"/>
        <family val="2"/>
      </rPr>
      <t xml:space="preserve">马力档消费税单价、俄罗斯报废税完整系数表、燃油车个人统一税率的具体数值。</t>
    </r>
  </si>
  <si>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俄罗斯的计征功率口径（消费税按车辆功率，报废税按电机 </t>
    </r>
    <r>
      <rPr>
        <sz val="10"/>
        <rFont val="Arial"/>
        <family val="0"/>
        <charset val="1"/>
      </rPr>
      <t xml:space="preserve">30 </t>
    </r>
    <r>
      <rPr>
        <sz val="10"/>
        <rFont val="WenQuanYi Zen Hei"/>
        <family val="2"/>
      </rPr>
      <t xml:space="preserve">分钟最大功率）以车辆证书为准，同一车型的两个数值可能不同。</t>
    </r>
  </si>
  <si>
    <t xml:space="preserve">三、数据来源</t>
  </si>
  <si>
    <t xml:space="preserve">编号</t>
  </si>
  <si>
    <t xml:space="preserve">发布机构</t>
  </si>
  <si>
    <t xml:space="preserve">标题</t>
  </si>
  <si>
    <t xml:space="preserve">来源类型</t>
  </si>
  <si>
    <t xml:space="preserve">URL</t>
  </si>
  <si>
    <r>
      <rPr>
        <sz val="10"/>
        <rFont val="WenQuanYi Zen Hei"/>
        <family val="2"/>
      </rPr>
      <t xml:space="preserve">白俄国家海关委员会</t>
    </r>
    <r>
      <rPr>
        <sz val="10"/>
        <rFont val="Arial"/>
        <family val="0"/>
        <charset val="1"/>
      </rPr>
      <t xml:space="preserve">(ГТК)</t>
    </r>
  </si>
  <si>
    <r>
      <rPr>
        <sz val="10"/>
        <rFont val="Arial"/>
        <family val="0"/>
        <charset val="1"/>
      </rPr>
      <t xml:space="preserve">Об изменениях в ТН ВЭД ЕАЭС, касающихся электромобилей и последовательных гибридов</t>
    </r>
    <r>
      <rPr>
        <sz val="10"/>
        <rFont val="WenQuanYi Zen Hei"/>
        <family val="2"/>
      </rPr>
      <t xml:space="preserve">（税则中电动车与增程式的变化）</t>
    </r>
  </si>
  <si>
    <t xml:space="preserve">白俄官方：国家机关</t>
  </si>
  <si>
    <t xml:space="preserve">https://www.customs.gov.by/news/ob-izmeneniyakh-v-tn-ved-eaes-kasayushchikhsya-elektromobiley-i-posledovatelnykh-gibridov/</t>
  </si>
  <si>
    <t xml:space="preserve">S02</t>
  </si>
  <si>
    <r>
      <rPr>
        <sz val="10"/>
        <rFont val="Arial"/>
        <family val="0"/>
        <charset val="1"/>
      </rPr>
      <t xml:space="preserve">Об изменении Указа Президента по вопросам стимулирования использования электромобилей</t>
    </r>
    <r>
      <rPr>
        <sz val="10"/>
        <rFont val="WenQuanYi Zen Hei"/>
        <family val="2"/>
      </rPr>
      <t xml:space="preserve">（第</t>
    </r>
    <r>
      <rPr>
        <sz val="10"/>
        <rFont val="Arial"/>
        <family val="0"/>
        <charset val="1"/>
      </rPr>
      <t xml:space="preserve">428</t>
    </r>
    <r>
      <rPr>
        <sz val="10"/>
        <rFont val="WenQuanYi Zen Hei"/>
        <family val="2"/>
      </rPr>
      <t xml:space="preserve">号总统令）</t>
    </r>
  </si>
  <si>
    <t xml:space="preserve">https://www.customs.gov.by/news/ob-izmenenii-ukaza-prezidenta-respubliki-belarus-po-voprosam-stimulirovaniya-ispolzovaniya-elektromo/</t>
  </si>
  <si>
    <t xml:space="preserve">S03</t>
  </si>
  <si>
    <r>
      <rPr>
        <sz val="10"/>
        <rFont val="Arial"/>
        <family val="0"/>
        <charset val="1"/>
      </rPr>
      <t xml:space="preserve">Об установлении льгот в отношении электромобилей на 2026 год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年电动车优惠）</t>
    </r>
  </si>
  <si>
    <t xml:space="preserve">https://www.customs.gov.by/news/ob-ustanovlenii-lgot-v-otnoshenii-elektromobiley-na-2026-god/</t>
  </si>
  <si>
    <t xml:space="preserve">S04</t>
  </si>
  <si>
    <t xml:space="preserve">Об изменении законодательства, регулирующего применение льгот в отношении электромобилей в 2026 году</t>
  </si>
  <si>
    <t xml:space="preserve">https://www.customs.gov.by/news/ob-izmenenii-zakonodatelstva-reguliruyushchego-primenenie-lgot-v-otnoshenii-elektromobiley-v-2026-g-/</t>
  </si>
  <si>
    <t xml:space="preserve">S05</t>
  </si>
  <si>
    <r>
      <rPr>
        <sz val="10"/>
        <rFont val="Arial"/>
        <family val="0"/>
        <charset val="1"/>
      </rPr>
      <t xml:space="preserve">Разъяснение ГТК: как сэкономить на таможенных пошлинах, налогах на электромобиль</t>
    </r>
    <r>
      <rPr>
        <sz val="10"/>
        <rFont val="WenQuanYi Zen Hei"/>
        <family val="2"/>
      </rPr>
      <t xml:space="preserve">（电动车适用</t>
    </r>
    <r>
      <rPr>
        <sz val="10"/>
        <rFont val="Arial"/>
        <family val="0"/>
        <charset val="1"/>
      </rPr>
      <t xml:space="preserve">15%</t>
    </r>
    <r>
      <rPr>
        <sz val="10"/>
        <rFont val="WenQuanYi Zen Hei"/>
        <family val="2"/>
      </rPr>
      <t xml:space="preserve">关税）</t>
    </r>
  </si>
  <si>
    <t xml:space="preserve">https://www.customs.gov.by/news/razyasnenie-gosudarstvennogo-tamozhennogo-komiteta-kak-sekonomit-na-tamozhennykh-poshlinakh-nalogakh/</t>
  </si>
  <si>
    <t xml:space="preserve">S06</t>
  </si>
  <si>
    <r>
      <rPr>
        <sz val="10"/>
        <rFont val="Arial"/>
        <family val="0"/>
        <charset val="1"/>
      </rPr>
      <t xml:space="preserve">Утилизационный сбор</t>
    </r>
    <r>
      <rPr>
        <sz val="10"/>
        <rFont val="WenQuanYi Zen Hei"/>
        <family val="2"/>
      </rPr>
      <t xml:space="preserve">（报废税，企业）</t>
    </r>
  </si>
  <si>
    <t xml:space="preserve">https://www.customs.gov.by/participants-ved/biznesmenam/utilizatsionnyy-sbor/</t>
  </si>
  <si>
    <t xml:space="preserve">S07</t>
  </si>
  <si>
    <r>
      <rPr>
        <sz val="10"/>
        <rFont val="Arial"/>
        <family val="0"/>
        <charset val="1"/>
      </rPr>
      <t xml:space="preserve">Уплата утилизационного сбора физическими лицами</t>
    </r>
    <r>
      <rPr>
        <sz val="10"/>
        <rFont val="WenQuanYi Zen Hei"/>
        <family val="2"/>
      </rPr>
      <t xml:space="preserve">（个人缴纳报废税）</t>
    </r>
  </si>
  <si>
    <t xml:space="preserve">https://www.customs.gov.by/fizicheskim-litsam/uplata-utilizatsionnogo-sbora-fizicheskimi-litsami-dokumenty-podtverzhdayushchie-kategoriyu-transpor/</t>
  </si>
  <si>
    <t xml:space="preserve">S08</t>
  </si>
  <si>
    <r>
      <rPr>
        <sz val="10"/>
        <rFont val="Arial"/>
        <family val="0"/>
        <charset val="1"/>
      </rPr>
      <t xml:space="preserve">Об изменении законодательства, регулирующего порядок уплаты утилизационного сбора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2026-04</t>
    </r>
    <r>
      <rPr>
        <sz val="10"/>
        <rFont val="WenQuanYi Zen Hei"/>
        <family val="2"/>
      </rPr>
      <t xml:space="preserve">）</t>
    </r>
  </si>
  <si>
    <t xml:space="preserve">https://www.customs.gov.by/news/ob-izmenenii-zakonodatelstva-reguliruyushchego-poryadok-uplaty-utilizatsionnogo-sbora/</t>
  </si>
  <si>
    <r>
      <rPr>
        <sz val="10"/>
        <rFont val="Arial"/>
        <family val="0"/>
        <charset val="1"/>
      </rPr>
      <t xml:space="preserve">Таможенный калькулятор</t>
    </r>
    <r>
      <rPr>
        <sz val="10"/>
        <rFont val="WenQuanYi Zen Hei"/>
        <family val="2"/>
      </rPr>
      <t xml:space="preserve">（海关税费计算器）</t>
    </r>
  </si>
  <si>
    <t xml:space="preserve">https://www.customs.gov.by/calc/</t>
  </si>
  <si>
    <t xml:space="preserve">S10</t>
  </si>
  <si>
    <r>
      <rPr>
        <sz val="10"/>
        <rFont val="Arial"/>
        <family val="0"/>
        <charset val="1"/>
      </rPr>
      <t xml:space="preserve">Ввоз товаров для личного пользования с уплатой таможенных платежей</t>
    </r>
    <r>
      <rPr>
        <sz val="10"/>
        <rFont val="WenQuanYi Zen Hei"/>
        <family val="2"/>
      </rPr>
      <t xml:space="preserve">（个人物品纳税进口）</t>
    </r>
  </si>
  <si>
    <t xml:space="preserve">https://www.customs.gov.by/fizicheskim-litsam/vvoz-tovarov-dlya-lichnogo-polzovaniya-s-uplatoy-tamozhennykh-platezhey/</t>
  </si>
  <si>
    <t xml:space="preserve">S11</t>
  </si>
  <si>
    <r>
      <rPr>
        <sz val="10"/>
        <rFont val="WenQuanYi Zen Hei"/>
        <family val="2"/>
      </rPr>
      <t xml:space="preserve">白俄税务部</t>
    </r>
    <r>
      <rPr>
        <sz val="10"/>
        <rFont val="Arial"/>
        <family val="0"/>
        <charset val="1"/>
      </rPr>
      <t xml:space="preserve">(МНС)</t>
    </r>
  </si>
  <si>
    <t xml:space="preserve">Об исчислении НДС и налога на прибыль в связи с принятием Указа от 11.12.2025 № 428</t>
  </si>
  <si>
    <t xml:space="preserve">https://nalog.gov.by/clarifications/comments/33567/</t>
  </si>
  <si>
    <t xml:space="preserve">S12</t>
  </si>
  <si>
    <r>
      <rPr>
        <sz val="10"/>
        <rFont val="Arial"/>
        <family val="0"/>
        <charset val="1"/>
      </rPr>
      <t xml:space="preserve">О продлении для юридических лиц преференций по электромобилям</t>
    </r>
    <r>
      <rPr>
        <sz val="10"/>
        <rFont val="WenQuanYi Zen Hei"/>
        <family val="2"/>
      </rPr>
      <t xml:space="preserve">（法人电动车优惠延长）</t>
    </r>
  </si>
  <si>
    <t xml:space="preserve">https://nalog.gov.by/news/33381/</t>
  </si>
  <si>
    <t xml:space="preserve">pravo.by</t>
  </si>
  <si>
    <r>
      <rPr>
        <sz val="10"/>
        <rFont val="Arial"/>
        <family val="0"/>
        <charset val="1"/>
      </rPr>
      <t xml:space="preserve">ГТК разъяснил нюансы ввоза в Беларусь электромобилей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2025-12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</si>
  <si>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白俄官方：法律门户 </t>
    </r>
    <r>
      <rPr>
        <sz val="10"/>
        <rFont val="Arial"/>
        <family val="0"/>
        <charset val="1"/>
      </rPr>
      <t xml:space="preserve">pravo.by</t>
    </r>
  </si>
  <si>
    <t xml:space="preserve">https://pravo.by/novosti/obshchestvenno-politicheskie-i-v-oblasti-prava/2025/december/91542/</t>
  </si>
  <si>
    <t xml:space="preserve">S14</t>
  </si>
  <si>
    <r>
      <rPr>
        <sz val="10"/>
        <rFont val="Arial"/>
        <family val="0"/>
        <charset val="1"/>
      </rPr>
      <t xml:space="preserve">Ставки останутся прежними. В ГТК разъяснили новшества при ввозе авто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2025-10</t>
    </r>
    <r>
      <rPr>
        <sz val="10"/>
        <rFont val="WenQuanYi Zen Hei"/>
        <family val="2"/>
      </rPr>
      <t xml:space="preserve">）</t>
    </r>
  </si>
  <si>
    <t xml:space="preserve">https://pravo.by/novosti/obshchestvenno-politicheskie-i-v-oblasti-prava/2025/october/90569/</t>
  </si>
  <si>
    <t xml:space="preserve">S15</t>
  </si>
  <si>
    <r>
      <rPr>
        <sz val="10"/>
        <rFont val="Arial"/>
        <family val="0"/>
        <charset val="1"/>
      </rPr>
      <t xml:space="preserve">Как теперь действуют льготы на ввоз электромобилей в Беларусь, разъяснили в ГТК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2026-02</t>
    </r>
    <r>
      <rPr>
        <sz val="10"/>
        <rFont val="WenQuanYi Zen Hei"/>
        <family val="2"/>
      </rPr>
      <t xml:space="preserve">）</t>
    </r>
  </si>
  <si>
    <t xml:space="preserve">https://pravo.by/novosti/obshchestvenno-politicheskie-i-v-oblasti-prava/2026/february/92131/</t>
  </si>
  <si>
    <t xml:space="preserve">S16</t>
  </si>
  <si>
    <t xml:space="preserve">Межправсовет предоставил тарифную льготу на ввоз электромобилей в Армению, Беларусь и Кыргызстан в 2026 году</t>
  </si>
  <si>
    <t xml:space="preserve">https://pravo.by/novosti/obshchestvenno-politicheskie-i-v-oblasti-prava/2025/december/91374/</t>
  </si>
  <si>
    <t xml:space="preserve">S17</t>
  </si>
  <si>
    <r>
      <rPr>
        <sz val="10"/>
        <rFont val="Arial"/>
        <family val="0"/>
        <charset val="1"/>
      </rPr>
      <t xml:space="preserve">Продлены основные льготы и преференции по электромобилям и зарядным станциям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2025-12</t>
    </r>
    <r>
      <rPr>
        <sz val="10"/>
        <rFont val="WenQuanYi Zen Hei"/>
        <family val="2"/>
      </rPr>
      <t xml:space="preserve">）</t>
    </r>
  </si>
  <si>
    <t xml:space="preserve">https://pravo.by/novosti/obshchestvenno-politicheskie-i-v-oblasti-prava/2025/december/91364/</t>
  </si>
  <si>
    <t xml:space="preserve">S18</t>
  </si>
  <si>
    <r>
      <rPr>
        <sz val="10"/>
        <rFont val="Arial"/>
        <family val="0"/>
        <charset val="1"/>
      </rPr>
      <t xml:space="preserve">Правительство пересчитало ставки утилизационного сбора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2026-04</t>
    </r>
    <r>
      <rPr>
        <sz val="10"/>
        <rFont val="WenQuanYi Zen Hei"/>
        <family val="2"/>
      </rPr>
      <t xml:space="preserve">）</t>
    </r>
  </si>
  <si>
    <t xml:space="preserve">https://pravo.by/novosti/obshchestvenno-politicheskie-i-v-oblasti-prava/2026/april/93202/</t>
  </si>
  <si>
    <t xml:space="preserve">S19</t>
  </si>
  <si>
    <r>
      <rPr>
        <sz val="10"/>
        <rFont val="Arial"/>
        <family val="0"/>
        <charset val="1"/>
      </rPr>
      <t xml:space="preserve">Об изменении законодательства, регулирующего порядок уплаты утилизационного сбора</t>
    </r>
    <r>
      <rPr>
        <sz val="10"/>
        <rFont val="WenQuanYi Zen Hei"/>
        <family val="2"/>
      </rPr>
      <t xml:space="preserve">（分析，</t>
    </r>
    <r>
      <rPr>
        <sz val="10"/>
        <rFont val="Arial"/>
        <family val="0"/>
        <charset val="1"/>
      </rPr>
      <t xml:space="preserve">2026-04</t>
    </r>
    <r>
      <rPr>
        <sz val="10"/>
        <rFont val="WenQuanYi Zen Hei"/>
        <family val="2"/>
      </rPr>
      <t xml:space="preserve">）</t>
    </r>
  </si>
  <si>
    <t xml:space="preserve">https://pravo.by/novosti/analitika/2026/april/93257/</t>
  </si>
  <si>
    <t xml:space="preserve">S20</t>
  </si>
  <si>
    <r>
      <rPr>
        <sz val="10"/>
        <rFont val="Arial"/>
        <family val="0"/>
        <charset val="1"/>
      </rPr>
      <t xml:space="preserve">В Беларуси вступили в силу новшества по уплате утильсбора на ввозимые из ЕАЭС авто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2024-11</t>
    </r>
    <r>
      <rPr>
        <sz val="10"/>
        <rFont val="WenQuanYi Zen Hei"/>
        <family val="2"/>
      </rPr>
      <t xml:space="preserve">）</t>
    </r>
  </si>
  <si>
    <t xml:space="preserve">https://pravo.by/novosti/obshchestvenno-politicheskie-i-v-oblasti-prava/2024/november/79682/</t>
  </si>
  <si>
    <t xml:space="preserve">S21</t>
  </si>
  <si>
    <t xml:space="preserve">BelTA</t>
  </si>
  <si>
    <t xml:space="preserve">С 2026 года – всё по-новому: таможня и НДС. На сколько подорожают гибриды REEV при ввозе физлицами</t>
  </si>
  <si>
    <r>
      <rPr>
        <sz val="10"/>
        <rFont val="WenQuanYi Zen Hei"/>
        <family val="2"/>
      </rPr>
      <t xml:space="preserve">白俄国家通讯社 </t>
    </r>
    <r>
      <rPr>
        <sz val="10"/>
        <rFont val="Arial"/>
        <family val="0"/>
        <charset val="1"/>
      </rPr>
      <t xml:space="preserve">BelTA</t>
    </r>
  </si>
  <si>
    <t xml:space="preserve">https://belta.by/society/view/s-2026-goda-vse-po-novomu-tamozhnja-i-nds-na-skolko-podorozhajut-gibridy-reev-pri-vvoze-fizlitsami-755694-2025/</t>
  </si>
  <si>
    <t xml:space="preserve">Официально: +38% с 1 января 2026 на последовательные гибриды REEV. Сколько будет стоить Voyah Free?</t>
  </si>
  <si>
    <t xml:space="preserve">https://belta.by/society/view/ofitsialno-38-s-1-janvarja-2026-na-posledovatelnye-gibridy-reev-skolko-budet-stoit-voyah-free-754543-2025/</t>
  </si>
  <si>
    <t xml:space="preserve">S23</t>
  </si>
  <si>
    <t xml:space="preserve">Премьер-министры ЕАЭС договорились освободить от пошлин ввоз электромобилей в Беларусь, Армению и Кыргызстан</t>
  </si>
  <si>
    <t xml:space="preserve">https://belta.by/economics/view/premjer-ministry-eaes-dogovorilis-osvobodit-ot-poshlin-vvoz-elektromobilej-v-belarus-armeniju-i-753748-2025/</t>
  </si>
  <si>
    <t xml:space="preserve">S24</t>
  </si>
  <si>
    <t xml:space="preserve">В Беларуси с 29 апреля меняются ставки утилизационного сбора</t>
  </si>
  <si>
    <t xml:space="preserve">https://belta.by/economics/view/v-belarusi-s-29-aprelja-menjajutsja-stavki-utilizatsionnogo-sbora-777593-2026/</t>
  </si>
  <si>
    <t xml:space="preserve">S25</t>
  </si>
  <si>
    <r>
      <rPr>
        <sz val="10"/>
        <rFont val="Arial"/>
        <family val="0"/>
        <charset val="1"/>
      </rPr>
      <t xml:space="preserve">Квота по беспошлинному ввозу физлицами электромобилей исчерпана – ГТК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2026-09</t>
    </r>
    <r>
      <rPr>
        <sz val="10"/>
        <rFont val="WenQuanYi Zen Hei"/>
        <family val="2"/>
      </rPr>
      <t xml:space="preserve">）</t>
    </r>
  </si>
  <si>
    <t xml:space="preserve">https://belta.by/society/view/kvota-po-besposhlinnomu-vvozu-fizlitsami-elektromobilej-ischerpana-gtk-799565-2026/</t>
  </si>
  <si>
    <t xml:space="preserve">Альта-Софт</t>
  </si>
  <si>
    <r>
      <rPr>
        <sz val="10"/>
        <rFont val="Arial"/>
        <family val="0"/>
        <charset val="1"/>
      </rPr>
      <t xml:space="preserve">Изменения в ТН ВЭД и ставки ввозных пошлин в отношении отдельных видов электромобилей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EEC</t>
    </r>
    <r>
      <rPr>
        <sz val="10"/>
        <rFont val="WenQuanYi Zen Hei"/>
        <family val="2"/>
      </rPr>
      <t xml:space="preserve">委员会第</t>
    </r>
    <r>
      <rPr>
        <sz val="10"/>
        <rFont val="Arial"/>
        <family val="0"/>
        <charset val="1"/>
      </rPr>
      <t xml:space="preserve">81</t>
    </r>
    <r>
      <rPr>
        <sz val="10"/>
        <rFont val="WenQuanYi Zen Hei"/>
        <family val="2"/>
      </rPr>
      <t xml:space="preserve">号决定）</t>
    </r>
  </si>
  <si>
    <t xml:space="preserve">第三方专业数据库（俄）</t>
  </si>
  <si>
    <t xml:space="preserve">https://www.alta.ru/laws_news/122071/</t>
  </si>
  <si>
    <t xml:space="preserve">S27</t>
  </si>
  <si>
    <t xml:space="preserve">Код ТН ВЭД 8703800005</t>
  </si>
  <si>
    <t xml:space="preserve">https://www.alta.ru/tnved/code/8703800005/</t>
  </si>
  <si>
    <t xml:space="preserve">S28</t>
  </si>
  <si>
    <t xml:space="preserve">Страны ЕАЭС договорились о тарифной льготе на ввоз электромобилей в 2026 году</t>
  </si>
  <si>
    <t xml:space="preserve">https://www.alta.ru/ts_news/124149/</t>
  </si>
  <si>
    <t xml:space="preserve">S29</t>
  </si>
  <si>
    <t xml:space="preserve">Решение Совета ЕЭК от 24.02.2026 № 35 о внесении изменения в Решение № 107</t>
  </si>
  <si>
    <t xml:space="preserve">https://www.alta.ru/tamdoc/26sr0035/</t>
  </si>
  <si>
    <t xml:space="preserve">S30</t>
  </si>
  <si>
    <t xml:space="preserve">КонсультантПлюс</t>
  </si>
  <si>
    <r>
      <rPr>
        <sz val="10"/>
        <rFont val="Arial"/>
        <family val="0"/>
        <charset val="1"/>
      </rPr>
      <t xml:space="preserve">Решение Совета ЕЭК от 20.12.2017 N 107</t>
    </r>
    <r>
      <rPr>
        <sz val="10"/>
        <rFont val="WenQuanYi Zen Hei"/>
        <family val="2"/>
      </rPr>
      <t xml:space="preserve">（个人物品规则，</t>
    </r>
    <r>
      <rPr>
        <sz val="10"/>
        <rFont val="Arial"/>
        <family val="0"/>
        <charset val="1"/>
      </rPr>
      <t xml:space="preserve">ред. от 24.02.2026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</si>
  <si>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俄罗斯官方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联盟法规库</t>
    </r>
  </si>
  <si>
    <t xml:space="preserve">https://www.consultant.ru/document/cons_doc_LAW_293595/</t>
  </si>
  <si>
    <t xml:space="preserve">S31</t>
  </si>
  <si>
    <r>
      <rPr>
        <sz val="10"/>
        <rFont val="WenQuanYi Zen Hei"/>
        <family val="2"/>
      </rPr>
      <t xml:space="preserve">俄罗斯联邦海关署</t>
    </r>
    <r>
      <rPr>
        <sz val="10"/>
        <rFont val="Arial"/>
        <family val="0"/>
        <charset val="1"/>
      </rPr>
      <t xml:space="preserve">(ФТС)</t>
    </r>
  </si>
  <si>
    <t xml:space="preserve">Ставки таможенных пошлин, налогов в отношении транспортных средств для личного пользования</t>
  </si>
  <si>
    <t xml:space="preserve">https://customs.gov.ru/fiz/pravila-peremeshheniya-tovarov/transportnye-sredstva/vvoz-transportnyx-sredstv-dlya-lichnogo-pol-zovaniya/stavki-tamozhennyx-poshlin,-nalogov-v-otnoshenii-transportnyx-sredstv-dlya-lichnogo-pol-zovaniya</t>
  </si>
  <si>
    <t xml:space="preserve">S32</t>
  </si>
  <si>
    <t xml:space="preserve">TKS.RU</t>
  </si>
  <si>
    <t xml:space="preserve">Легковые автомобили, ввоз физическими лицами – таможенные платежи</t>
  </si>
  <si>
    <t xml:space="preserve">https://www.tks.ru/auto/2000000008/</t>
  </si>
  <si>
    <t xml:space="preserve">S33</t>
  </si>
  <si>
    <t xml:space="preserve">Повышение ставки НДС до 22%: что учесть с 1 января 2026 года</t>
  </si>
  <si>
    <t xml:space="preserve">https://www.consultant.ru/legalnews/30257/</t>
  </si>
  <si>
    <t xml:space="preserve">S34</t>
  </si>
  <si>
    <r>
      <rPr>
        <sz val="10"/>
        <rFont val="WenQuanYi Zen Hei"/>
        <family val="2"/>
      </rPr>
      <t xml:space="preserve">俄罗斯联邦税务局</t>
    </r>
    <r>
      <rPr>
        <sz val="10"/>
        <rFont val="Arial"/>
        <family val="0"/>
        <charset val="1"/>
      </rPr>
      <t xml:space="preserve">(ФНС)</t>
    </r>
  </si>
  <si>
    <t xml:space="preserve">Как исчислять НДС по новым правилам с 2026 года</t>
  </si>
  <si>
    <t xml:space="preserve">https://www.nalog.gov.ru/rn25/news/activities_fts/16590316/</t>
  </si>
  <si>
    <t xml:space="preserve">S35</t>
  </si>
  <si>
    <t xml:space="preserve">Ставки акцизов на автомобили 2026–2024</t>
  </si>
  <si>
    <t xml:space="preserve">https://www.consultant.ru/law/podborki/stavki_akcizov_na_avtomobili/</t>
  </si>
  <si>
    <t xml:space="preserve">S36</t>
  </si>
  <si>
    <t xml:space="preserve">Акцизы: что изменится в 2026 году</t>
  </si>
  <si>
    <t xml:space="preserve">https://www.nalog.gov.ru/rn27/news/tax_doc_news/16590707/</t>
  </si>
  <si>
    <t xml:space="preserve">S37</t>
  </si>
  <si>
    <t xml:space="preserve">Утилизационный сбор: новые правила расчета с 1 декабря 2025 года</t>
  </si>
  <si>
    <t xml:space="preserve">https://www.consultant.ru/legalnews/29989/</t>
  </si>
  <si>
    <t xml:space="preserve">S38</t>
  </si>
  <si>
    <t xml:space="preserve">С 1 декабря 2025 года устанавливаются новые правила расчета утилизационного сбора на легковые автомобили</t>
  </si>
  <si>
    <t xml:space="preserve">https://www.consultant.ru/law/hotdocs/91326.html</t>
  </si>
  <si>
    <t xml:space="preserve">S39</t>
  </si>
  <si>
    <t xml:space="preserve">白俄财政部</t>
  </si>
  <si>
    <r>
      <rPr>
        <sz val="10"/>
        <rFont val="Arial"/>
        <family val="0"/>
        <charset val="1"/>
      </rPr>
      <t xml:space="preserve">Акцизы (Глава 15 Налогового кодекса)</t>
    </r>
    <r>
      <rPr>
        <sz val="10"/>
        <rFont val="WenQuanYi Zen Hei"/>
        <family val="2"/>
      </rPr>
      <t xml:space="preserve">（消费税章节，应税消费品清单）</t>
    </r>
  </si>
  <si>
    <t xml:space="preserve">https://www.minfin.gov.by/ru/tax_policy/tax_system/doc/92aa7b734d3b48a6.html</t>
  </si>
  <si>
    <t xml:space="preserve">S40</t>
  </si>
  <si>
    <r>
      <rPr>
        <sz val="10"/>
        <rFont val="Arial"/>
        <family val="0"/>
        <charset val="1"/>
      </rPr>
      <t xml:space="preserve">Комментарий: изменения 2026 года в части акцизов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年消费税变化）</t>
    </r>
  </si>
  <si>
    <t xml:space="preserve">https://nalog.gov.by/clarifications/comments/33596/</t>
  </si>
  <si>
    <t xml:space="preserve">S41</t>
  </si>
  <si>
    <r>
      <rPr>
        <sz val="10"/>
        <rFont val="Arial"/>
        <family val="0"/>
        <charset val="1"/>
      </rPr>
      <t xml:space="preserve">Изменение ставок утилизационного сбора с 10 февраля 2025 года</t>
    </r>
    <r>
      <rPr>
        <sz val="10"/>
        <rFont val="WenQuanYi Zen Hei"/>
        <family val="2"/>
      </rPr>
      <t xml:space="preserve">（上调并与俄罗斯对齐）</t>
    </r>
  </si>
  <si>
    <t xml:space="preserve">https://www.customs.gov.by/news/izmenenie-stavok-utilizatsionnogo-sbora-s-10-fevralya-2025-goda/</t>
  </si>
  <si>
    <t xml:space="preserve">S42</t>
  </si>
  <si>
    <r>
      <rPr>
        <sz val="10"/>
        <rFont val="Arial"/>
        <family val="0"/>
        <charset val="1"/>
      </rPr>
      <t xml:space="preserve">Минпром: изменения по уплате утильсбора на авто для импортеров-физлиц минимальны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2025</t>
    </r>
    <r>
      <rPr>
        <sz val="10"/>
        <rFont val="WenQuanYi Zen Hei"/>
        <family val="2"/>
      </rPr>
      <t xml:space="preserve">）</t>
    </r>
  </si>
  <si>
    <t xml:space="preserve">https://belta.by/economics/view/minprom-izmenenija-po-uplate-utilsbora-na-avto-dlja-importerov-fizlits-minimalny-695013-2025/</t>
  </si>
  <si>
    <t xml:space="preserve">S43</t>
  </si>
  <si>
    <t xml:space="preserve">РНК (rnk.ru)</t>
  </si>
  <si>
    <t xml:space="preserve">Новые ставки акцизов в 2026 году: таблица</t>
  </si>
  <si>
    <t xml:space="preserve">第三方财税媒体（俄）</t>
  </si>
  <si>
    <t xml:space="preserve">https://www.rnk.ru/article/146592-stavki-aktsizov</t>
  </si>
  <si>
    <t xml:space="preserve">S44</t>
  </si>
  <si>
    <t xml:space="preserve">Учет. Налоги. Право (gazeta-unp.ru)</t>
  </si>
  <si>
    <t xml:space="preserve">Рост ставок на акцизы в 2026 году: новые тарифы</t>
  </si>
  <si>
    <t xml:space="preserve">https://www.gazeta-unp.ru/articles/53417-stavki-na-aktsizy</t>
  </si>
  <si>
    <t xml:space="preserve">S45</t>
  </si>
  <si>
    <t xml:space="preserve">Утилизационный сбор с 1 апреля 2026 года: изменения для физлиц и юрлиц</t>
  </si>
  <si>
    <t xml:space="preserve">https://www.gazeta-unp.ru/articles/53281-utilizatsionnyy-sbor</t>
  </si>
  <si>
    <t xml:space="preserve">S46</t>
  </si>
  <si>
    <t xml:space="preserve">ГАРАНТ.РУ</t>
  </si>
  <si>
    <t xml:space="preserve">Утильсбор с 1 декабря 2025 года: новые правила расчета утилизационного сбора на автомобили</t>
  </si>
  <si>
    <t xml:space="preserve">https://www.garant.ru/article/1901763/</t>
  </si>
  <si>
    <t xml:space="preserve">S47</t>
  </si>
  <si>
    <r>
      <rPr>
        <sz val="10"/>
        <rFont val="Arial"/>
        <family val="0"/>
        <charset val="1"/>
      </rPr>
      <t xml:space="preserve">Постановление Правительства РФ от 26.12.2013 N 1291 (ред. от 06.02.2026)</t>
    </r>
    <r>
      <rPr>
        <sz val="10"/>
        <rFont val="WenQuanYi Zen Hei"/>
        <family val="2"/>
      </rPr>
      <t xml:space="preserve">（报废税条例）</t>
    </r>
  </si>
  <si>
    <t xml:space="preserve">https://www.consultant.ru/document/cons_doc_LAW_156832/</t>
  </si>
  <si>
    <t xml:space="preserve">S48</t>
  </si>
  <si>
    <t xml:space="preserve">С 1 апреля 2026 года изменятся правила расчета утильсбора для авто из Беларуси</t>
  </si>
  <si>
    <t xml:space="preserve">https://www.alta.ru/ts_news/126709/</t>
  </si>
  <si>
    <t xml:space="preserve">S49</t>
  </si>
  <si>
    <r>
      <rPr>
        <sz val="10"/>
        <rFont val="Arial"/>
        <family val="0"/>
        <charset val="1"/>
      </rPr>
      <t xml:space="preserve">Какие модели авто могут пропасть в России из-за новых правил утильсбора</t>
    </r>
    <r>
      <rPr>
        <sz val="10"/>
        <rFont val="WenQuanYi Zen Hei"/>
        <family val="2"/>
      </rPr>
      <t xml:space="preserve">（含理想</t>
    </r>
    <r>
      <rPr>
        <sz val="10"/>
        <rFont val="Arial"/>
        <family val="0"/>
        <charset val="1"/>
      </rPr>
      <t xml:space="preserve">L7</t>
    </r>
    <r>
      <rPr>
        <sz val="10"/>
        <rFont val="WenQuanYi Zen Hei"/>
        <family val="2"/>
      </rPr>
      <t xml:space="preserve">示例）</t>
    </r>
  </si>
  <si>
    <t xml:space="preserve">https://www.tks.ru/autonews/2025/09/18/0004/kakie-modeli-avto-mogut-propast-v-rossii-iz-za-novyih-pravil-utilsbora/</t>
  </si>
  <si>
    <t xml:space="preserve">白俄官方来源数量</t>
  </si>
  <si>
    <t xml:space="preserve">白俄官方来源占比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</si>
</sst>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00"/>
    <numFmt numFmtId="166" formatCode="0.0%"/>
    <numFmt numFmtId="167" formatCode="#,##0.00"/>
    <numFmt numFmtId="168" formatCode="0.0"/>
    <numFmt numFmtId="169" formatCode="#,##0"/>
    <numFmt numFmtId="170" formatCode="0.00"/>
    <numFmt numFmtId="171" formatCode="0"/>
    <numFmt numFmtId="172" formatCode="0.0\x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2"/>
    </font>
    <font>
      <b val="true"/>
      <sz val="16"/>
      <color rgb="FF1F4E78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color rgb="FF595959"/>
      <name val="Arial"/>
      <family val="2"/>
    </font>
    <font>
      <i val="true"/>
      <sz val="9"/>
      <color rgb="FF595959"/>
      <name val="Arial"/>
      <family val="0"/>
      <charset val="1"/>
    </font>
    <font>
      <b val="true"/>
      <sz val="11"/>
      <color rgb="FF1F4E78"/>
      <name val="Arial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2"/>
    </font>
    <font>
      <sz val="10"/>
      <name val="Arial"/>
      <family val="0"/>
      <charset val="1"/>
    </font>
    <font>
      <sz val="10"/>
      <name val="Arial"/>
      <family val="2"/>
    </font>
    <font>
      <b val="true"/>
      <sz val="11"/>
      <color rgb="FF1F4E78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2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DEBF7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E2EFDA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www.customs.gov.by/news/ob-izmeneniyakh-v-tn-ved-eaes-kasayushchikhsya-elektromobiley-i-posledovatelnykh-gibridov/" TargetMode="External"/><Relationship Id="rId2" Type="http://schemas.openxmlformats.org/officeDocument/2006/relationships/hyperlink" Target="https://www.customs.gov.by/news/ob-izmenenii-ukaza-prezidenta-respubliki-belarus-po-voprosam-stimulirovaniya-ispolzovaniya-elektromo/" TargetMode="External"/><Relationship Id="rId3" Type="http://schemas.openxmlformats.org/officeDocument/2006/relationships/hyperlink" Target="https://www.customs.gov.by/news/ob-ustanovlenii-lgot-v-otnoshenii-elektromobiley-na-2026-god/" TargetMode="External"/><Relationship Id="rId4" Type="http://schemas.openxmlformats.org/officeDocument/2006/relationships/hyperlink" Target="https://www.customs.gov.by/news/ob-izmenenii-zakonodatelstva-reguliruyushchego-primenenie-lgot-v-otnoshenii-elektromobiley-v-2026-g-/" TargetMode="External"/><Relationship Id="rId5" Type="http://schemas.openxmlformats.org/officeDocument/2006/relationships/hyperlink" Target="https://www.customs.gov.by/news/razyasnenie-gosudarstvennogo-tamozhennogo-komiteta-kak-sekonomit-na-tamozhennykh-poshlinakh-nalogakh/" TargetMode="External"/><Relationship Id="rId6" Type="http://schemas.openxmlformats.org/officeDocument/2006/relationships/hyperlink" Target="https://www.customs.gov.by/participants-ved/biznesmenam/utilizatsionnyy-sbor/" TargetMode="External"/><Relationship Id="rId7" Type="http://schemas.openxmlformats.org/officeDocument/2006/relationships/hyperlink" Target="https://www.customs.gov.by/fizicheskim-litsam/uplata-utilizatsionnogo-sbora-fizicheskimi-litsami-dokumenty-podtverzhdayushchie-kategoriyu-transpor/" TargetMode="External"/><Relationship Id="rId8" Type="http://schemas.openxmlformats.org/officeDocument/2006/relationships/hyperlink" Target="https://www.customs.gov.by/news/ob-izmenenii-zakonodatelstva-reguliruyushchego-poryadok-uplaty-utilizatsionnogo-sbora/" TargetMode="External"/><Relationship Id="rId9" Type="http://schemas.openxmlformats.org/officeDocument/2006/relationships/hyperlink" Target="https://www.customs.gov.by/calc/" TargetMode="External"/><Relationship Id="rId10" Type="http://schemas.openxmlformats.org/officeDocument/2006/relationships/hyperlink" Target="https://www.customs.gov.by/fizicheskim-litsam/vvoz-tovarov-dlya-lichnogo-polzovaniya-s-uplatoy-tamozhennykh-platezhey/" TargetMode="External"/><Relationship Id="rId11" Type="http://schemas.openxmlformats.org/officeDocument/2006/relationships/hyperlink" Target="https://nalog.gov.by/clarifications/comments/33567/" TargetMode="External"/><Relationship Id="rId12" Type="http://schemas.openxmlformats.org/officeDocument/2006/relationships/hyperlink" Target="https://nalog.gov.by/news/33381/" TargetMode="External"/><Relationship Id="rId13" Type="http://schemas.openxmlformats.org/officeDocument/2006/relationships/hyperlink" Target="https://pravo.by/novosti/obshchestvenno-politicheskie-i-v-oblasti-prava/2025/december/91542/" TargetMode="External"/><Relationship Id="rId14" Type="http://schemas.openxmlformats.org/officeDocument/2006/relationships/hyperlink" Target="https://pravo.by/novosti/obshchestvenno-politicheskie-i-v-oblasti-prava/2025/october/90569/" TargetMode="External"/><Relationship Id="rId15" Type="http://schemas.openxmlformats.org/officeDocument/2006/relationships/hyperlink" Target="https://pravo.by/novosti/obshchestvenno-politicheskie-i-v-oblasti-prava/2026/february/92131/" TargetMode="External"/><Relationship Id="rId16" Type="http://schemas.openxmlformats.org/officeDocument/2006/relationships/hyperlink" Target="https://pravo.by/novosti/obshchestvenno-politicheskie-i-v-oblasti-prava/2025/december/91374/" TargetMode="External"/><Relationship Id="rId17" Type="http://schemas.openxmlformats.org/officeDocument/2006/relationships/hyperlink" Target="https://pravo.by/novosti/obshchestvenno-politicheskie-i-v-oblasti-prava/2025/december/91364/" TargetMode="External"/><Relationship Id="rId18" Type="http://schemas.openxmlformats.org/officeDocument/2006/relationships/hyperlink" Target="https://pravo.by/novosti/obshchestvenno-politicheskie-i-v-oblasti-prava/2026/april/93202/" TargetMode="External"/><Relationship Id="rId19" Type="http://schemas.openxmlformats.org/officeDocument/2006/relationships/hyperlink" Target="https://pravo.by/novosti/analitika/2026/april/93257/" TargetMode="External"/><Relationship Id="rId20" Type="http://schemas.openxmlformats.org/officeDocument/2006/relationships/hyperlink" Target="https://pravo.by/novosti/obshchestvenno-politicheskie-i-v-oblasti-prava/2024/november/79682/" TargetMode="External"/><Relationship Id="rId21" Type="http://schemas.openxmlformats.org/officeDocument/2006/relationships/hyperlink" Target="https://belta.by/society/view/s-2026-goda-vse-po-novomu-tamozhnja-i-nds-na-skolko-podorozhajut-gibridy-reev-pri-vvoze-fizlitsami-755694-2025/" TargetMode="External"/><Relationship Id="rId22" Type="http://schemas.openxmlformats.org/officeDocument/2006/relationships/hyperlink" Target="https://belta.by/society/view/ofitsialno-38-s-1-janvarja-2026-na-posledovatelnye-gibridy-reev-skolko-budet-stoit-voyah-free-754543-2025/" TargetMode="External"/><Relationship Id="rId23" Type="http://schemas.openxmlformats.org/officeDocument/2006/relationships/hyperlink" Target="https://belta.by/economics/view/premjer-ministry-eaes-dogovorilis-osvobodit-ot-poshlin-vvoz-elektromobilej-v-belarus-armeniju-i-753748-2025/" TargetMode="External"/><Relationship Id="rId24" Type="http://schemas.openxmlformats.org/officeDocument/2006/relationships/hyperlink" Target="https://belta.by/economics/view/v-belarusi-s-29-aprelja-menjajutsja-stavki-utilizatsionnogo-sbora-777593-2026/" TargetMode="External"/><Relationship Id="rId25" Type="http://schemas.openxmlformats.org/officeDocument/2006/relationships/hyperlink" Target="https://belta.by/society/view/kvota-po-besposhlinnomu-vvozu-fizlitsami-elektromobilej-ischerpana-gtk-799565-2026/" TargetMode="External"/><Relationship Id="rId26" Type="http://schemas.openxmlformats.org/officeDocument/2006/relationships/hyperlink" Target="https://www.alta.ru/laws_news/122071/" TargetMode="External"/><Relationship Id="rId27" Type="http://schemas.openxmlformats.org/officeDocument/2006/relationships/hyperlink" Target="https://www.alta.ru/tnved/code/8703800005/" TargetMode="External"/><Relationship Id="rId28" Type="http://schemas.openxmlformats.org/officeDocument/2006/relationships/hyperlink" Target="https://www.alta.ru/ts_news/124149/" TargetMode="External"/><Relationship Id="rId29" Type="http://schemas.openxmlformats.org/officeDocument/2006/relationships/hyperlink" Target="https://www.alta.ru/tamdoc/26sr0035/" TargetMode="External"/><Relationship Id="rId30" Type="http://schemas.openxmlformats.org/officeDocument/2006/relationships/hyperlink" Target="https://www.consultant.ru/document/cons_doc_LAW_293595/" TargetMode="External"/><Relationship Id="rId31" Type="http://schemas.openxmlformats.org/officeDocument/2006/relationships/hyperlink" Target="https://customs.gov.ru/fiz/pravila-peremeshheniya-tovarov/transportnye-sredstva/vvoz-transportnyx-sredstv-dlya-lichnogo-pol-zovaniya/stavki-tamozhennyx-poshlin,-nalogov-v-otnoshenii-transportnyx-sredstv-dlya-lichnogo-pol-zovaniya" TargetMode="External"/><Relationship Id="rId32" Type="http://schemas.openxmlformats.org/officeDocument/2006/relationships/hyperlink" Target="https://www.tks.ru/auto/2000000008/" TargetMode="External"/><Relationship Id="rId33" Type="http://schemas.openxmlformats.org/officeDocument/2006/relationships/hyperlink" Target="https://www.consultant.ru/legalnews/30257/" TargetMode="External"/><Relationship Id="rId34" Type="http://schemas.openxmlformats.org/officeDocument/2006/relationships/hyperlink" Target="https://www.nalog.gov.ru/rn25/news/activities_fts/16590316/" TargetMode="External"/><Relationship Id="rId35" Type="http://schemas.openxmlformats.org/officeDocument/2006/relationships/hyperlink" Target="https://www.consultant.ru/law/podborki/stavki_akcizov_na_avtomobili/" TargetMode="External"/><Relationship Id="rId36" Type="http://schemas.openxmlformats.org/officeDocument/2006/relationships/hyperlink" Target="https://www.nalog.gov.ru/rn27/news/tax_doc_news/16590707/" TargetMode="External"/><Relationship Id="rId37" Type="http://schemas.openxmlformats.org/officeDocument/2006/relationships/hyperlink" Target="https://www.consultant.ru/legalnews/29989/" TargetMode="External"/><Relationship Id="rId38" Type="http://schemas.openxmlformats.org/officeDocument/2006/relationships/hyperlink" Target="https://www.consultant.ru/law/hotdocs/91326.html" TargetMode="External"/><Relationship Id="rId39" Type="http://schemas.openxmlformats.org/officeDocument/2006/relationships/hyperlink" Target="https://www.minfin.gov.by/ru/tax_policy/tax_system/doc/92aa7b734d3b48a6.html" TargetMode="External"/><Relationship Id="rId40" Type="http://schemas.openxmlformats.org/officeDocument/2006/relationships/hyperlink" Target="https://nalog.gov.by/clarifications/comments/33596/" TargetMode="External"/><Relationship Id="rId41" Type="http://schemas.openxmlformats.org/officeDocument/2006/relationships/hyperlink" Target="https://www.customs.gov.by/news/izmenenie-stavok-utilizatsionnogo-sbora-s-10-fevralya-2025-goda/" TargetMode="External"/><Relationship Id="rId42" Type="http://schemas.openxmlformats.org/officeDocument/2006/relationships/hyperlink" Target="https://belta.by/economics/view/minprom-izmenenija-po-uplate-utilsbora-na-avto-dlja-importerov-fizlits-minimalny-695013-2025/" TargetMode="External"/><Relationship Id="rId43" Type="http://schemas.openxmlformats.org/officeDocument/2006/relationships/hyperlink" Target="https://www.rnk.ru/article/146592-stavki-aktsizov" TargetMode="External"/><Relationship Id="rId44" Type="http://schemas.openxmlformats.org/officeDocument/2006/relationships/hyperlink" Target="https://www.gazeta-unp.ru/articles/53417-stavki-na-aktsizy" TargetMode="External"/><Relationship Id="rId45" Type="http://schemas.openxmlformats.org/officeDocument/2006/relationships/hyperlink" Target="https://www.gazeta-unp.ru/articles/53281-utilizatsionnyy-sbor" TargetMode="External"/><Relationship Id="rId46" Type="http://schemas.openxmlformats.org/officeDocument/2006/relationships/hyperlink" Target="https://www.garant.ru/article/1901763/" TargetMode="External"/><Relationship Id="rId47" Type="http://schemas.openxmlformats.org/officeDocument/2006/relationships/hyperlink" Target="https://www.consultant.ru/document/cons_doc_LAW_156832/" TargetMode="External"/><Relationship Id="rId48" Type="http://schemas.openxmlformats.org/officeDocument/2006/relationships/hyperlink" Target="https://www.alta.ru/ts_news/126709/" TargetMode="External"/><Relationship Id="rId49" Type="http://schemas.openxmlformats.org/officeDocument/2006/relationships/hyperlink" Target="https://www.tks.ru/autonews/2025/09/18/0004/kakie-modeli-avto-mogut-propast-v-rossii-iz-za-novyih-pravil-utilsbora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92"/>
    <col collapsed="false" customWidth="true" hidden="false" outlineLevel="0" max="4" min="4" style="0" width="20"/>
    <col collapsed="false" customWidth="true" hidden="false" outlineLevel="0" max="5" min="5" style="0" width="8"/>
  </cols>
  <sheetData>
    <row r="1" customFormat="false" ht="20.85" hidden="false" customHeight="false" outlineLevel="0" collapsed="false">
      <c r="A1" s="1" t="s">
        <v>0</v>
      </c>
      <c r="B1" s="2"/>
      <c r="C1" s="2"/>
      <c r="D1" s="2"/>
      <c r="E1" s="2"/>
    </row>
    <row r="2" customFormat="false" ht="31.5" hidden="false" customHeight="true" outlineLevel="0" collapsed="false">
      <c r="A2" s="3" t="s">
        <v>1</v>
      </c>
      <c r="B2" s="3"/>
      <c r="C2" s="3"/>
      <c r="D2" s="3"/>
      <c r="E2" s="3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4" t="s">
        <v>2</v>
      </c>
      <c r="B4" s="5"/>
      <c r="C4" s="5"/>
      <c r="D4" s="5"/>
      <c r="E4" s="5"/>
    </row>
    <row r="5" customFormat="false" ht="15" hidden="false" customHeight="false" outlineLevel="0" collapsed="false">
      <c r="A5" s="6" t="s">
        <v>3</v>
      </c>
      <c r="B5" s="7" t="s">
        <v>4</v>
      </c>
      <c r="C5" s="7" t="s">
        <v>5</v>
      </c>
      <c r="D5" s="7" t="s">
        <v>6</v>
      </c>
      <c r="E5" s="7" t="s">
        <v>7</v>
      </c>
    </row>
    <row r="6" customFormat="false" ht="91.5" hidden="false" customHeight="true" outlineLevel="0" collapsed="false">
      <c r="A6" s="8" t="n">
        <v>1</v>
      </c>
      <c r="B6" s="9" t="s">
        <v>8</v>
      </c>
      <c r="C6" s="9" t="s">
        <v>9</v>
      </c>
      <c r="D6" s="10" t="s">
        <v>10</v>
      </c>
      <c r="E6" s="11" t="s">
        <v>11</v>
      </c>
    </row>
    <row r="7" customFormat="false" ht="91.5" hidden="false" customHeight="true" outlineLevel="0" collapsed="false">
      <c r="A7" s="8" t="n">
        <v>2</v>
      </c>
      <c r="B7" s="9" t="s">
        <v>12</v>
      </c>
      <c r="C7" s="9" t="s">
        <v>13</v>
      </c>
      <c r="D7" s="10" t="s">
        <v>14</v>
      </c>
      <c r="E7" s="11" t="s">
        <v>11</v>
      </c>
    </row>
    <row r="8" customFormat="false" ht="91.5" hidden="false" customHeight="true" outlineLevel="0" collapsed="false">
      <c r="A8" s="8" t="n">
        <v>3</v>
      </c>
      <c r="B8" s="9" t="s">
        <v>15</v>
      </c>
      <c r="C8" s="9" t="s">
        <v>16</v>
      </c>
      <c r="D8" s="10" t="s">
        <v>17</v>
      </c>
      <c r="E8" s="11" t="s">
        <v>11</v>
      </c>
    </row>
    <row r="9" customFormat="false" ht="91.5" hidden="false" customHeight="true" outlineLevel="0" collapsed="false">
      <c r="A9" s="8" t="n">
        <v>4</v>
      </c>
      <c r="B9" s="9" t="s">
        <v>18</v>
      </c>
      <c r="C9" s="9" t="s">
        <v>19</v>
      </c>
      <c r="D9" s="10" t="s">
        <v>20</v>
      </c>
      <c r="E9" s="11" t="s">
        <v>11</v>
      </c>
    </row>
    <row r="10" customFormat="false" ht="91.5" hidden="false" customHeight="true" outlineLevel="0" collapsed="false">
      <c r="A10" s="8" t="n">
        <v>5</v>
      </c>
      <c r="B10" s="9" t="s">
        <v>21</v>
      </c>
      <c r="C10" s="9" t="s">
        <v>22</v>
      </c>
      <c r="D10" s="10" t="s">
        <v>23</v>
      </c>
      <c r="E10" s="11" t="s">
        <v>11</v>
      </c>
    </row>
    <row r="11" customFormat="false" ht="91.5" hidden="false" customHeight="true" outlineLevel="0" collapsed="false">
      <c r="A11" s="8" t="n">
        <v>6</v>
      </c>
      <c r="B11" s="9" t="s">
        <v>24</v>
      </c>
      <c r="C11" s="9" t="s">
        <v>25</v>
      </c>
      <c r="D11" s="10" t="s">
        <v>26</v>
      </c>
      <c r="E11" s="12" t="s">
        <v>27</v>
      </c>
    </row>
    <row r="12" customFormat="false" ht="91.5" hidden="false" customHeight="true" outlineLevel="0" collapsed="false">
      <c r="A12" s="8" t="n">
        <v>7</v>
      </c>
      <c r="B12" s="9" t="s">
        <v>28</v>
      </c>
      <c r="C12" s="9" t="s">
        <v>29</v>
      </c>
      <c r="D12" s="10" t="s">
        <v>30</v>
      </c>
      <c r="E12" s="11" t="s">
        <v>11</v>
      </c>
    </row>
    <row r="13" customFormat="false" ht="15" hidden="false" customHeight="false" outlineLevel="0" collapsed="false">
      <c r="A13" s="2"/>
      <c r="B13" s="2"/>
      <c r="C13" s="2"/>
      <c r="D13" s="2"/>
      <c r="E13" s="2"/>
    </row>
    <row r="14" customFormat="false" ht="15" hidden="false" customHeight="false" outlineLevel="0" collapsed="false">
      <c r="A14" s="4" t="s">
        <v>31</v>
      </c>
      <c r="B14" s="5"/>
      <c r="C14" s="5"/>
      <c r="D14" s="5"/>
      <c r="E14" s="5"/>
    </row>
    <row r="15" customFormat="false" ht="27.75" hidden="false" customHeight="true" outlineLevel="0" collapsed="false">
      <c r="A15" s="13" t="s">
        <v>32</v>
      </c>
      <c r="B15" s="13"/>
      <c r="C15" s="13"/>
      <c r="D15" s="13"/>
      <c r="E15" s="13"/>
    </row>
    <row r="16" customFormat="false" ht="27.75" hidden="false" customHeight="true" outlineLevel="0" collapsed="false">
      <c r="A16" s="13" t="s">
        <v>33</v>
      </c>
      <c r="B16" s="13"/>
      <c r="C16" s="13"/>
      <c r="D16" s="13"/>
      <c r="E16" s="13"/>
    </row>
    <row r="17" customFormat="false" ht="27.75" hidden="false" customHeight="true" outlineLevel="0" collapsed="false">
      <c r="A17" s="13" t="s">
        <v>34</v>
      </c>
      <c r="B17" s="13"/>
      <c r="C17" s="13"/>
      <c r="D17" s="13"/>
      <c r="E17" s="13"/>
    </row>
  </sheetData>
  <mergeCells count="4">
    <mergeCell ref="A2:E2"/>
    <mergeCell ref="A15:E15"/>
    <mergeCell ref="A16:E16"/>
    <mergeCell ref="A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36"/>
    <col collapsed="false" customWidth="true" hidden="false" outlineLevel="0" max="4" min="4" style="0" width="40"/>
    <col collapsed="false" customWidth="true" hidden="false" outlineLevel="0" max="5" min="5" style="0" width="18"/>
    <col collapsed="false" customWidth="true" hidden="false" outlineLevel="0" max="6" min="6" style="0" width="8"/>
  </cols>
  <sheetData>
    <row r="1" customFormat="false" ht="20.85" hidden="false" customHeight="false" outlineLevel="0" collapsed="false">
      <c r="A1" s="1" t="s">
        <v>35</v>
      </c>
      <c r="B1" s="2"/>
      <c r="C1" s="2"/>
      <c r="D1" s="2"/>
      <c r="E1" s="2"/>
      <c r="F1" s="2"/>
    </row>
    <row r="2" customFormat="false" ht="31.5" hidden="false" customHeight="true" outlineLevel="0" collapsed="false">
      <c r="A2" s="3" t="s">
        <v>36</v>
      </c>
      <c r="B2" s="3"/>
      <c r="C2" s="3"/>
      <c r="D2" s="3"/>
      <c r="E2" s="3"/>
      <c r="F2" s="3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7" t="s">
        <v>37</v>
      </c>
      <c r="B4" s="6" t="s">
        <v>38</v>
      </c>
      <c r="C4" s="6" t="s">
        <v>39</v>
      </c>
      <c r="D4" s="7" t="s">
        <v>40</v>
      </c>
      <c r="E4" s="7" t="s">
        <v>6</v>
      </c>
      <c r="F4" s="7" t="s">
        <v>7</v>
      </c>
    </row>
    <row r="5" customFormat="false" ht="57.75" hidden="false" customHeight="true" outlineLevel="0" collapsed="false">
      <c r="A5" s="9" t="s">
        <v>41</v>
      </c>
      <c r="B5" s="10" t="s">
        <v>42</v>
      </c>
      <c r="C5" s="10" t="s">
        <v>43</v>
      </c>
      <c r="D5" s="10" t="s">
        <v>44</v>
      </c>
      <c r="E5" s="10" t="s">
        <v>45</v>
      </c>
      <c r="F5" s="11" t="s">
        <v>11</v>
      </c>
    </row>
    <row r="6" customFormat="false" ht="57.75" hidden="false" customHeight="true" outlineLevel="0" collapsed="false">
      <c r="A6" s="9" t="s">
        <v>46</v>
      </c>
      <c r="B6" s="9" t="s">
        <v>47</v>
      </c>
      <c r="C6" s="10" t="s">
        <v>48</v>
      </c>
      <c r="D6" s="9" t="s">
        <v>49</v>
      </c>
      <c r="E6" s="10" t="s">
        <v>50</v>
      </c>
      <c r="F6" s="11" t="s">
        <v>11</v>
      </c>
    </row>
    <row r="7" customFormat="false" ht="57.75" hidden="false" customHeight="true" outlineLevel="0" collapsed="false">
      <c r="A7" s="9" t="s">
        <v>51</v>
      </c>
      <c r="B7" s="9" t="s">
        <v>52</v>
      </c>
      <c r="C7" s="10" t="s">
        <v>53</v>
      </c>
      <c r="D7" s="9" t="s">
        <v>54</v>
      </c>
      <c r="E7" s="10" t="s">
        <v>55</v>
      </c>
      <c r="F7" s="11" t="s">
        <v>11</v>
      </c>
    </row>
    <row r="8" customFormat="false" ht="57.75" hidden="false" customHeight="true" outlineLevel="0" collapsed="false">
      <c r="A8" s="9" t="s">
        <v>56</v>
      </c>
      <c r="B8" s="9" t="s">
        <v>57</v>
      </c>
      <c r="C8" s="10" t="s">
        <v>58</v>
      </c>
      <c r="D8" s="9" t="s">
        <v>59</v>
      </c>
      <c r="E8" s="10" t="s">
        <v>60</v>
      </c>
      <c r="F8" s="11" t="s">
        <v>11</v>
      </c>
    </row>
    <row r="9" customFormat="false" ht="57.75" hidden="false" customHeight="true" outlineLevel="0" collapsed="false">
      <c r="A9" s="9" t="s">
        <v>61</v>
      </c>
      <c r="B9" s="10" t="s">
        <v>62</v>
      </c>
      <c r="C9" s="9" t="s">
        <v>63</v>
      </c>
      <c r="D9" s="10" t="s">
        <v>64</v>
      </c>
      <c r="E9" s="10" t="s">
        <v>65</v>
      </c>
      <c r="F9" s="11" t="s">
        <v>11</v>
      </c>
    </row>
    <row r="10" customFormat="false" ht="57.75" hidden="false" customHeight="true" outlineLevel="0" collapsed="false">
      <c r="A10" s="9" t="s">
        <v>66</v>
      </c>
      <c r="B10" s="9" t="s">
        <v>67</v>
      </c>
      <c r="C10" s="9" t="s">
        <v>67</v>
      </c>
      <c r="D10" s="9" t="s">
        <v>68</v>
      </c>
      <c r="E10" s="10" t="s">
        <v>69</v>
      </c>
      <c r="F10" s="11" t="s">
        <v>11</v>
      </c>
    </row>
    <row r="11" customFormat="false" ht="57.75" hidden="false" customHeight="true" outlineLevel="0" collapsed="false">
      <c r="A11" s="9" t="s">
        <v>70</v>
      </c>
      <c r="B11" s="9" t="s">
        <v>71</v>
      </c>
      <c r="C11" s="9" t="s">
        <v>72</v>
      </c>
      <c r="D11" s="9" t="s">
        <v>73</v>
      </c>
      <c r="E11" s="10" t="s">
        <v>74</v>
      </c>
      <c r="F11" s="11" t="s">
        <v>11</v>
      </c>
    </row>
    <row r="12" customFormat="false" ht="57.75" hidden="false" customHeight="true" outlineLevel="0" collapsed="false">
      <c r="A12" s="9" t="s">
        <v>75</v>
      </c>
      <c r="B12" s="10" t="s">
        <v>62</v>
      </c>
      <c r="C12" s="9" t="s">
        <v>76</v>
      </c>
      <c r="D12" s="9" t="s">
        <v>77</v>
      </c>
      <c r="E12" s="10" t="s">
        <v>78</v>
      </c>
      <c r="F12" s="11" t="s">
        <v>11</v>
      </c>
    </row>
    <row r="13" customFormat="false" ht="57.75" hidden="false" customHeight="true" outlineLevel="0" collapsed="false">
      <c r="A13" s="9" t="s">
        <v>79</v>
      </c>
      <c r="B13" s="10" t="s">
        <v>62</v>
      </c>
      <c r="C13" s="9" t="s">
        <v>80</v>
      </c>
      <c r="D13" s="9" t="s">
        <v>81</v>
      </c>
      <c r="E13" s="10" t="s">
        <v>23</v>
      </c>
      <c r="F13" s="11" t="s">
        <v>11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44"/>
    <col collapsed="false" customWidth="true" hidden="false" outlineLevel="0" max="4" min="4" style="0" width="20"/>
    <col collapsed="false" customWidth="true" hidden="false" outlineLevel="0" max="5" min="5" style="0" width="8"/>
  </cols>
  <sheetData>
    <row r="1" customFormat="false" ht="19.7" hidden="false" customHeight="false" outlineLevel="0" collapsed="false">
      <c r="A1" s="1" t="s">
        <v>82</v>
      </c>
      <c r="B1" s="2"/>
      <c r="C1" s="2"/>
      <c r="D1" s="2"/>
      <c r="E1" s="2"/>
    </row>
    <row r="2" customFormat="false" ht="31.5" hidden="false" customHeight="true" outlineLevel="0" collapsed="false">
      <c r="A2" s="3" t="s">
        <v>83</v>
      </c>
      <c r="B2" s="3"/>
      <c r="C2" s="3"/>
      <c r="D2" s="3"/>
      <c r="E2" s="3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7" t="s">
        <v>37</v>
      </c>
      <c r="B4" s="7" t="s">
        <v>84</v>
      </c>
      <c r="C4" s="7" t="s">
        <v>85</v>
      </c>
      <c r="D4" s="7" t="s">
        <v>6</v>
      </c>
      <c r="E4" s="7" t="s">
        <v>7</v>
      </c>
    </row>
    <row r="5" customFormat="false" ht="45" hidden="false" customHeight="true" outlineLevel="0" collapsed="false">
      <c r="A5" s="9" t="s">
        <v>41</v>
      </c>
      <c r="B5" s="10" t="s">
        <v>86</v>
      </c>
      <c r="C5" s="10" t="s">
        <v>86</v>
      </c>
      <c r="D5" s="10" t="s">
        <v>87</v>
      </c>
      <c r="E5" s="11" t="s">
        <v>11</v>
      </c>
    </row>
    <row r="6" customFormat="false" ht="45" hidden="false" customHeight="true" outlineLevel="0" collapsed="false">
      <c r="A6" s="9" t="s">
        <v>88</v>
      </c>
      <c r="B6" s="9" t="s">
        <v>89</v>
      </c>
      <c r="C6" s="9" t="s">
        <v>90</v>
      </c>
      <c r="D6" s="10" t="s">
        <v>91</v>
      </c>
      <c r="E6" s="12" t="s">
        <v>27</v>
      </c>
    </row>
    <row r="7" customFormat="false" ht="45" hidden="false" customHeight="true" outlineLevel="0" collapsed="false">
      <c r="A7" s="9" t="s">
        <v>51</v>
      </c>
      <c r="B7" s="10" t="s">
        <v>92</v>
      </c>
      <c r="C7" s="10" t="s">
        <v>92</v>
      </c>
      <c r="D7" s="10" t="s">
        <v>93</v>
      </c>
      <c r="E7" s="11" t="s">
        <v>11</v>
      </c>
    </row>
    <row r="8" customFormat="false" ht="45" hidden="false" customHeight="true" outlineLevel="0" collapsed="false">
      <c r="A8" s="9" t="s">
        <v>94</v>
      </c>
      <c r="B8" s="10" t="s">
        <v>95</v>
      </c>
      <c r="C8" s="10" t="s">
        <v>96</v>
      </c>
      <c r="D8" s="10" t="s">
        <v>97</v>
      </c>
      <c r="E8" s="11" t="s">
        <v>11</v>
      </c>
    </row>
    <row r="9" customFormat="false" ht="45" hidden="false" customHeight="true" outlineLevel="0" collapsed="false">
      <c r="A9" s="9" t="s">
        <v>66</v>
      </c>
      <c r="B9" s="9" t="s">
        <v>98</v>
      </c>
      <c r="C9" s="9" t="s">
        <v>98</v>
      </c>
      <c r="D9" s="10" t="s">
        <v>99</v>
      </c>
      <c r="E9" s="11" t="s">
        <v>11</v>
      </c>
    </row>
    <row r="10" customFormat="false" ht="45" hidden="false" customHeight="true" outlineLevel="0" collapsed="false">
      <c r="A10" s="9" t="s">
        <v>70</v>
      </c>
      <c r="B10" s="9" t="s">
        <v>100</v>
      </c>
      <c r="C10" s="9" t="s">
        <v>101</v>
      </c>
      <c r="D10" s="10" t="s">
        <v>102</v>
      </c>
      <c r="E10" s="11" t="s">
        <v>11</v>
      </c>
    </row>
    <row r="11" customFormat="false" ht="45" hidden="false" customHeight="true" outlineLevel="0" collapsed="false">
      <c r="A11" s="9" t="s">
        <v>103</v>
      </c>
      <c r="B11" s="9" t="s">
        <v>104</v>
      </c>
      <c r="C11" s="9" t="s">
        <v>104</v>
      </c>
      <c r="D11" s="10" t="s">
        <v>105</v>
      </c>
      <c r="E11" s="12" t="s">
        <v>27</v>
      </c>
    </row>
    <row r="12" customFormat="false" ht="45" hidden="false" customHeight="true" outlineLevel="0" collapsed="false">
      <c r="A12" s="9" t="s">
        <v>106</v>
      </c>
      <c r="B12" s="9" t="s">
        <v>107</v>
      </c>
      <c r="C12" s="9" t="s">
        <v>108</v>
      </c>
      <c r="D12" s="10" t="s">
        <v>109</v>
      </c>
      <c r="E12" s="11" t="s">
        <v>11</v>
      </c>
    </row>
    <row r="13" customFormat="false" ht="45" hidden="false" customHeight="true" outlineLevel="0" collapsed="false">
      <c r="A13" s="9" t="s">
        <v>110</v>
      </c>
      <c r="B13" s="9" t="s">
        <v>111</v>
      </c>
      <c r="C13" s="9" t="s">
        <v>112</v>
      </c>
      <c r="D13" s="10" t="s">
        <v>113</v>
      </c>
      <c r="E13" s="11" t="s">
        <v>11</v>
      </c>
    </row>
    <row r="14" customFormat="false" ht="45" hidden="false" customHeight="true" outlineLevel="0" collapsed="false">
      <c r="A14" s="9" t="s">
        <v>114</v>
      </c>
      <c r="B14" s="9" t="s">
        <v>115</v>
      </c>
      <c r="C14" s="10" t="s">
        <v>62</v>
      </c>
      <c r="D14" s="10" t="s">
        <v>116</v>
      </c>
      <c r="E14" s="12" t="s">
        <v>27</v>
      </c>
    </row>
    <row r="15" customFormat="false" ht="45" hidden="false" customHeight="true" outlineLevel="0" collapsed="false">
      <c r="A15" s="9" t="s">
        <v>117</v>
      </c>
      <c r="B15" s="10" t="s">
        <v>118</v>
      </c>
      <c r="C15" s="10" t="s">
        <v>119</v>
      </c>
      <c r="D15" s="10" t="s">
        <v>120</v>
      </c>
      <c r="E15" s="11" t="s">
        <v>11</v>
      </c>
    </row>
    <row r="16" customFormat="false" ht="15" hidden="false" customHeight="false" outlineLevel="0" collapsed="false">
      <c r="A16" s="2"/>
      <c r="B16" s="2"/>
      <c r="C16" s="2"/>
      <c r="D16" s="2"/>
      <c r="E16" s="2"/>
    </row>
    <row r="17" customFormat="false" ht="15" hidden="false" customHeight="true" outlineLevel="0" collapsed="false">
      <c r="A17" s="3" t="s">
        <v>121</v>
      </c>
      <c r="B17" s="3"/>
      <c r="C17" s="3"/>
      <c r="D17" s="3"/>
      <c r="E17" s="3"/>
    </row>
  </sheetData>
  <mergeCells count="2">
    <mergeCell ref="A2:E2"/>
    <mergeCell ref="A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22"/>
    <col collapsed="false" customWidth="true" hidden="false" outlineLevel="0" max="5" min="5" style="0" width="40"/>
    <col collapsed="false" customWidth="true" hidden="false" outlineLevel="0" max="6" min="6" style="0" width="16"/>
    <col collapsed="false" customWidth="true" hidden="false" outlineLevel="0" max="7" min="7" style="0" width="8"/>
  </cols>
  <sheetData>
    <row r="1" customFormat="false" ht="19.7" hidden="false" customHeight="false" outlineLevel="0" collapsed="false">
      <c r="A1" s="1" t="s">
        <v>122</v>
      </c>
      <c r="B1" s="2"/>
      <c r="C1" s="2"/>
      <c r="D1" s="2"/>
      <c r="E1" s="2"/>
      <c r="F1" s="2"/>
      <c r="G1" s="2"/>
    </row>
    <row r="2" customFormat="false" ht="31.5" hidden="false" customHeight="true" outlineLevel="0" collapsed="false">
      <c r="A2" s="3" t="s">
        <v>123</v>
      </c>
      <c r="B2" s="3"/>
      <c r="C2" s="3"/>
      <c r="D2" s="3"/>
      <c r="E2" s="3"/>
      <c r="F2" s="3"/>
      <c r="G2" s="3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4" t="s">
        <v>124</v>
      </c>
      <c r="B4" s="5"/>
      <c r="C4" s="5"/>
      <c r="D4" s="5"/>
      <c r="E4" s="5"/>
      <c r="F4" s="5"/>
      <c r="G4" s="5"/>
    </row>
    <row r="5" customFormat="false" ht="15" hidden="false" customHeight="false" outlineLevel="0" collapsed="false">
      <c r="A5" s="7" t="s">
        <v>37</v>
      </c>
      <c r="B5" s="7" t="s">
        <v>125</v>
      </c>
      <c r="C5" s="6" t="s">
        <v>126</v>
      </c>
      <c r="D5" s="6" t="s">
        <v>127</v>
      </c>
      <c r="E5" s="7" t="s">
        <v>128</v>
      </c>
      <c r="F5" s="7" t="s">
        <v>6</v>
      </c>
      <c r="G5" s="7" t="s">
        <v>7</v>
      </c>
    </row>
    <row r="6" customFormat="false" ht="36" hidden="false" customHeight="true" outlineLevel="0" collapsed="false">
      <c r="A6" s="9" t="s">
        <v>129</v>
      </c>
      <c r="B6" s="8" t="s">
        <v>130</v>
      </c>
      <c r="C6" s="8" t="s">
        <v>130</v>
      </c>
      <c r="D6" s="8" t="s">
        <v>130</v>
      </c>
      <c r="E6" s="9" t="s">
        <v>131</v>
      </c>
      <c r="F6" s="10" t="s">
        <v>132</v>
      </c>
      <c r="G6" s="11" t="s">
        <v>11</v>
      </c>
    </row>
    <row r="7" customFormat="false" ht="36" hidden="false" customHeight="true" outlineLevel="0" collapsed="false">
      <c r="A7" s="9" t="s">
        <v>133</v>
      </c>
      <c r="B7" s="8" t="s">
        <v>58</v>
      </c>
      <c r="C7" s="8" t="s">
        <v>58</v>
      </c>
      <c r="D7" s="8" t="s">
        <v>58</v>
      </c>
      <c r="E7" s="9" t="s">
        <v>134</v>
      </c>
      <c r="F7" s="10" t="s">
        <v>135</v>
      </c>
      <c r="G7" s="11" t="s">
        <v>11</v>
      </c>
    </row>
    <row r="8" customFormat="false" ht="36" hidden="false" customHeight="true" outlineLevel="0" collapsed="false">
      <c r="A8" s="9" t="s">
        <v>136</v>
      </c>
      <c r="B8" s="14" t="s">
        <v>137</v>
      </c>
      <c r="C8" s="14" t="s">
        <v>138</v>
      </c>
      <c r="D8" s="14" t="s">
        <v>139</v>
      </c>
      <c r="E8" s="9" t="s">
        <v>140</v>
      </c>
      <c r="F8" s="10" t="s">
        <v>105</v>
      </c>
      <c r="G8" s="12" t="s">
        <v>27</v>
      </c>
    </row>
    <row r="9" customFormat="false" ht="36" hidden="false" customHeight="true" outlineLevel="0" collapsed="false">
      <c r="A9" s="9" t="s">
        <v>141</v>
      </c>
      <c r="B9" s="8" t="s">
        <v>142</v>
      </c>
      <c r="C9" s="8" t="s">
        <v>143</v>
      </c>
      <c r="D9" s="8" t="s">
        <v>143</v>
      </c>
      <c r="E9" s="9" t="s">
        <v>144</v>
      </c>
      <c r="F9" s="10" t="s">
        <v>145</v>
      </c>
      <c r="G9" s="11" t="s">
        <v>11</v>
      </c>
    </row>
    <row r="10" customFormat="false" ht="36" hidden="false" customHeight="true" outlineLevel="0" collapsed="false">
      <c r="A10" s="9" t="s">
        <v>146</v>
      </c>
      <c r="B10" s="14" t="s">
        <v>147</v>
      </c>
      <c r="C10" s="14" t="s">
        <v>147</v>
      </c>
      <c r="D10" s="14" t="s">
        <v>147</v>
      </c>
      <c r="E10" s="9" t="s">
        <v>148</v>
      </c>
      <c r="F10" s="10" t="s">
        <v>149</v>
      </c>
      <c r="G10" s="12" t="s">
        <v>27</v>
      </c>
    </row>
    <row r="11" customFormat="false" ht="36" hidden="false" customHeight="true" outlineLevel="0" collapsed="false">
      <c r="A11" s="9" t="s">
        <v>150</v>
      </c>
      <c r="B11" s="14" t="s">
        <v>151</v>
      </c>
      <c r="C11" s="14" t="s">
        <v>151</v>
      </c>
      <c r="D11" s="14" t="s">
        <v>151</v>
      </c>
      <c r="E11" s="9" t="s">
        <v>152</v>
      </c>
      <c r="F11" s="10" t="s">
        <v>153</v>
      </c>
      <c r="G11" s="11" t="s">
        <v>11</v>
      </c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</row>
    <row r="13" customFormat="false" ht="15" hidden="false" customHeight="false" outlineLevel="0" collapsed="false">
      <c r="A13" s="4" t="s">
        <v>154</v>
      </c>
      <c r="B13" s="5"/>
      <c r="C13" s="5"/>
      <c r="D13" s="5"/>
      <c r="E13" s="5"/>
      <c r="F13" s="5"/>
      <c r="G13" s="5"/>
    </row>
    <row r="14" customFormat="false" ht="15" hidden="false" customHeight="false" outlineLevel="0" collapsed="false">
      <c r="A14" s="7" t="s">
        <v>37</v>
      </c>
      <c r="B14" s="7" t="s">
        <v>125</v>
      </c>
      <c r="C14" s="6" t="s">
        <v>126</v>
      </c>
      <c r="D14" s="6" t="s">
        <v>127</v>
      </c>
      <c r="E14" s="7" t="s">
        <v>128</v>
      </c>
      <c r="F14" s="7" t="s">
        <v>6</v>
      </c>
      <c r="G14" s="7" t="s">
        <v>7</v>
      </c>
    </row>
    <row r="15" customFormat="false" ht="48" hidden="false" customHeight="true" outlineLevel="0" collapsed="false">
      <c r="A15" s="9" t="s">
        <v>155</v>
      </c>
      <c r="B15" s="9" t="s">
        <v>156</v>
      </c>
      <c r="C15" s="9" t="s">
        <v>157</v>
      </c>
      <c r="D15" s="9" t="s">
        <v>158</v>
      </c>
      <c r="E15" s="9" t="s">
        <v>159</v>
      </c>
      <c r="F15" s="10" t="s">
        <v>160</v>
      </c>
      <c r="G15" s="12" t="s">
        <v>27</v>
      </c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</row>
    <row r="17" customFormat="false" ht="15" hidden="false" customHeight="false" outlineLevel="0" collapsed="false">
      <c r="A17" s="4" t="s">
        <v>161</v>
      </c>
      <c r="B17" s="5"/>
      <c r="C17" s="5"/>
      <c r="D17" s="5"/>
      <c r="E17" s="5"/>
      <c r="F17" s="5"/>
      <c r="G17" s="5"/>
    </row>
    <row r="18" customFormat="false" ht="15" hidden="false" customHeight="false" outlineLevel="0" collapsed="false">
      <c r="A18" s="7" t="s">
        <v>37</v>
      </c>
      <c r="B18" s="7" t="s">
        <v>125</v>
      </c>
      <c r="C18" s="6" t="s">
        <v>126</v>
      </c>
      <c r="D18" s="6" t="s">
        <v>127</v>
      </c>
      <c r="E18" s="7" t="s">
        <v>128</v>
      </c>
      <c r="F18" s="7" t="s">
        <v>6</v>
      </c>
      <c r="G18" s="7" t="s">
        <v>7</v>
      </c>
    </row>
    <row r="19" customFormat="false" ht="36" hidden="false" customHeight="true" outlineLevel="0" collapsed="false">
      <c r="A19" s="9" t="s">
        <v>51</v>
      </c>
      <c r="B19" s="8" t="s">
        <v>130</v>
      </c>
      <c r="C19" s="8" t="s">
        <v>130</v>
      </c>
      <c r="D19" s="8" t="s">
        <v>130</v>
      </c>
      <c r="E19" s="9" t="s">
        <v>162</v>
      </c>
      <c r="F19" s="10" t="s">
        <v>163</v>
      </c>
      <c r="G19" s="11" t="s">
        <v>11</v>
      </c>
    </row>
    <row r="20" customFormat="false" ht="36" hidden="false" customHeight="true" outlineLevel="0" collapsed="false">
      <c r="A20" s="9" t="s">
        <v>70</v>
      </c>
      <c r="B20" s="14" t="s">
        <v>164</v>
      </c>
      <c r="C20" s="14" t="s">
        <v>165</v>
      </c>
      <c r="D20" s="14" t="s">
        <v>165</v>
      </c>
      <c r="E20" s="10" t="s">
        <v>166</v>
      </c>
      <c r="F20" s="10" t="s">
        <v>167</v>
      </c>
      <c r="G20" s="12" t="s">
        <v>27</v>
      </c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</row>
    <row r="22" customFormat="false" ht="30" hidden="false" customHeight="true" outlineLevel="0" collapsed="false">
      <c r="A22" s="3" t="s">
        <v>168</v>
      </c>
      <c r="B22" s="3"/>
      <c r="C22" s="3"/>
      <c r="D22" s="3"/>
      <c r="E22" s="3"/>
      <c r="F22" s="3"/>
      <c r="G22" s="3"/>
    </row>
  </sheetData>
  <mergeCells count="2">
    <mergeCell ref="A2:G2"/>
    <mergeCell ref="A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4"/>
    <col collapsed="false" customWidth="true" hidden="false" outlineLevel="0" max="3" min="3" style="0" width="50"/>
    <col collapsed="false" customWidth="true" hidden="false" outlineLevel="0" max="4" min="4" style="0" width="32"/>
    <col collapsed="false" customWidth="true" hidden="false" outlineLevel="0" max="5" min="5" style="0" width="30"/>
    <col collapsed="false" customWidth="true" hidden="false" outlineLevel="0" max="6" min="6" style="0" width="18"/>
    <col collapsed="false" customWidth="true" hidden="false" outlineLevel="0" max="7" min="7" style="0" width="8"/>
  </cols>
  <sheetData>
    <row r="1" customFormat="false" ht="19.7" hidden="false" customHeight="false" outlineLevel="0" collapsed="false">
      <c r="A1" s="1" t="s">
        <v>169</v>
      </c>
      <c r="B1" s="2"/>
      <c r="C1" s="2"/>
      <c r="D1" s="2"/>
      <c r="E1" s="2"/>
      <c r="F1" s="2"/>
      <c r="G1" s="2"/>
    </row>
    <row r="2" customFormat="false" ht="31.5" hidden="false" customHeight="true" outlineLevel="0" collapsed="false">
      <c r="A2" s="3" t="s">
        <v>170</v>
      </c>
      <c r="B2" s="3"/>
      <c r="C2" s="3"/>
      <c r="D2" s="3"/>
      <c r="E2" s="3"/>
      <c r="F2" s="3"/>
      <c r="G2" s="3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7" t="s">
        <v>37</v>
      </c>
      <c r="B4" s="7" t="s">
        <v>171</v>
      </c>
      <c r="C4" s="7" t="s">
        <v>172</v>
      </c>
      <c r="D4" s="7" t="s">
        <v>173</v>
      </c>
      <c r="E4" s="7" t="s">
        <v>174</v>
      </c>
      <c r="F4" s="7" t="s">
        <v>6</v>
      </c>
      <c r="G4" s="7" t="s">
        <v>7</v>
      </c>
    </row>
    <row r="5" customFormat="false" ht="87.75" hidden="false" customHeight="true" outlineLevel="0" collapsed="false">
      <c r="A5" s="9" t="s">
        <v>175</v>
      </c>
      <c r="B5" s="10" t="s">
        <v>176</v>
      </c>
      <c r="C5" s="10" t="s">
        <v>176</v>
      </c>
      <c r="D5" s="9" t="s">
        <v>177</v>
      </c>
      <c r="E5" s="9" t="s">
        <v>178</v>
      </c>
      <c r="F5" s="10" t="s">
        <v>179</v>
      </c>
      <c r="G5" s="11" t="s">
        <v>11</v>
      </c>
    </row>
    <row r="6" customFormat="false" ht="87.75" hidden="false" customHeight="true" outlineLevel="0" collapsed="false">
      <c r="A6" s="9" t="s">
        <v>94</v>
      </c>
      <c r="B6" s="10" t="s">
        <v>58</v>
      </c>
      <c r="C6" s="10" t="s">
        <v>180</v>
      </c>
      <c r="D6" s="9" t="s">
        <v>181</v>
      </c>
      <c r="E6" s="9" t="s">
        <v>182</v>
      </c>
      <c r="F6" s="10" t="s">
        <v>183</v>
      </c>
      <c r="G6" s="11" t="s">
        <v>11</v>
      </c>
    </row>
    <row r="7" customFormat="false" ht="87.75" hidden="false" customHeight="true" outlineLevel="0" collapsed="false">
      <c r="A7" s="9" t="s">
        <v>66</v>
      </c>
      <c r="B7" s="9" t="s">
        <v>184</v>
      </c>
      <c r="C7" s="9" t="s">
        <v>185</v>
      </c>
      <c r="D7" s="9" t="s">
        <v>186</v>
      </c>
      <c r="E7" s="9" t="s">
        <v>187</v>
      </c>
      <c r="F7" s="10" t="s">
        <v>188</v>
      </c>
      <c r="G7" s="11" t="s">
        <v>11</v>
      </c>
    </row>
    <row r="8" customFormat="false" ht="87.75" hidden="false" customHeight="true" outlineLevel="0" collapsed="false">
      <c r="A8" s="9" t="s">
        <v>189</v>
      </c>
      <c r="B8" s="10" t="s">
        <v>190</v>
      </c>
      <c r="C8" s="10" t="s">
        <v>191</v>
      </c>
      <c r="D8" s="9" t="s">
        <v>192</v>
      </c>
      <c r="E8" s="9" t="s">
        <v>193</v>
      </c>
      <c r="F8" s="10" t="s">
        <v>194</v>
      </c>
      <c r="G8" s="12" t="s">
        <v>27</v>
      </c>
    </row>
    <row r="9" customFormat="false" ht="87.75" hidden="false" customHeight="true" outlineLevel="0" collapsed="false">
      <c r="A9" s="9" t="s">
        <v>195</v>
      </c>
      <c r="B9" s="9" t="s">
        <v>196</v>
      </c>
      <c r="C9" s="9" t="s">
        <v>197</v>
      </c>
      <c r="D9" s="9" t="s">
        <v>198</v>
      </c>
      <c r="E9" s="9" t="s">
        <v>199</v>
      </c>
      <c r="F9" s="10" t="s">
        <v>200</v>
      </c>
      <c r="G9" s="11" t="s">
        <v>11</v>
      </c>
    </row>
    <row r="10" customFormat="false" ht="87.75" hidden="false" customHeight="true" outlineLevel="0" collapsed="false">
      <c r="A10" s="9" t="s">
        <v>201</v>
      </c>
      <c r="B10" s="9" t="s">
        <v>202</v>
      </c>
      <c r="C10" s="10" t="s">
        <v>203</v>
      </c>
      <c r="D10" s="9" t="s">
        <v>204</v>
      </c>
      <c r="E10" s="9" t="s">
        <v>205</v>
      </c>
      <c r="F10" s="10" t="s">
        <v>206</v>
      </c>
      <c r="G10" s="12" t="s">
        <v>27</v>
      </c>
    </row>
    <row r="11" customFormat="false" ht="87.75" hidden="false" customHeight="true" outlineLevel="0" collapsed="false">
      <c r="A11" s="9" t="s">
        <v>207</v>
      </c>
      <c r="B11" s="9" t="s">
        <v>208</v>
      </c>
      <c r="C11" s="9" t="s">
        <v>209</v>
      </c>
      <c r="D11" s="9" t="s">
        <v>210</v>
      </c>
      <c r="E11" s="9" t="s">
        <v>211</v>
      </c>
      <c r="F11" s="10" t="s">
        <v>212</v>
      </c>
      <c r="G11" s="12" t="s">
        <v>27</v>
      </c>
    </row>
    <row r="12" customFormat="false" ht="87.75" hidden="false" customHeight="true" outlineLevel="0" collapsed="false">
      <c r="A12" s="9" t="s">
        <v>213</v>
      </c>
      <c r="B12" s="9" t="s">
        <v>214</v>
      </c>
      <c r="C12" s="10" t="s">
        <v>215</v>
      </c>
      <c r="D12" s="9" t="s">
        <v>216</v>
      </c>
      <c r="E12" s="9" t="s">
        <v>217</v>
      </c>
      <c r="F12" s="10" t="s">
        <v>218</v>
      </c>
      <c r="G12" s="11" t="s">
        <v>11</v>
      </c>
    </row>
    <row r="13" customFormat="false" ht="87.75" hidden="false" customHeight="true" outlineLevel="0" collapsed="false">
      <c r="A13" s="9" t="s">
        <v>219</v>
      </c>
      <c r="B13" s="9" t="s">
        <v>220</v>
      </c>
      <c r="C13" s="9" t="s">
        <v>221</v>
      </c>
      <c r="D13" s="9" t="s">
        <v>222</v>
      </c>
      <c r="E13" s="9" t="s">
        <v>217</v>
      </c>
      <c r="F13" s="10" t="s">
        <v>223</v>
      </c>
      <c r="G13" s="11" t="s">
        <v>11</v>
      </c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</row>
    <row r="15" customFormat="false" ht="42" hidden="false" customHeight="true" outlineLevel="0" collapsed="false">
      <c r="A15" s="3" t="s">
        <v>224</v>
      </c>
      <c r="B15" s="3"/>
      <c r="C15" s="3"/>
      <c r="D15" s="3"/>
      <c r="E15" s="3"/>
      <c r="F15" s="3"/>
      <c r="G15" s="3"/>
    </row>
  </sheetData>
  <mergeCells count="2">
    <mergeCell ref="A2:G2"/>
    <mergeCell ref="A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6" min="3" style="0" width="16"/>
    <col collapsed="false" customWidth="true" hidden="false" outlineLevel="0" max="7" min="7" style="0" width="44"/>
  </cols>
  <sheetData>
    <row r="1" customFormat="false" ht="20.85" hidden="false" customHeight="false" outlineLevel="0" collapsed="false">
      <c r="A1" s="1" t="s">
        <v>225</v>
      </c>
      <c r="B1" s="2"/>
      <c r="C1" s="2"/>
      <c r="D1" s="2"/>
      <c r="E1" s="2"/>
      <c r="F1" s="2"/>
      <c r="G1" s="2"/>
    </row>
    <row r="2" customFormat="false" ht="31.5" hidden="false" customHeight="true" outlineLevel="0" collapsed="false">
      <c r="A2" s="3" t="s">
        <v>226</v>
      </c>
      <c r="B2" s="3"/>
      <c r="C2" s="3"/>
      <c r="D2" s="3"/>
      <c r="E2" s="3"/>
      <c r="F2" s="3"/>
      <c r="G2" s="3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2"/>
      <c r="B4" s="15" t="s">
        <v>227</v>
      </c>
      <c r="C4" s="2"/>
      <c r="D4" s="2"/>
      <c r="E4" s="2"/>
      <c r="F4" s="2"/>
      <c r="G4" s="2"/>
    </row>
    <row r="5" customFormat="false" ht="15" hidden="false" customHeight="false" outlineLevel="0" collapsed="false">
      <c r="A5" s="2"/>
      <c r="B5" s="16" t="s">
        <v>228</v>
      </c>
      <c r="C5" s="17" t="n">
        <v>3</v>
      </c>
      <c r="D5" s="2"/>
      <c r="E5" s="2"/>
      <c r="F5" s="2"/>
      <c r="G5" s="18" t="s">
        <v>229</v>
      </c>
    </row>
    <row r="6" customFormat="false" ht="15" hidden="false" customHeight="false" outlineLevel="0" collapsed="false">
      <c r="A6" s="2"/>
      <c r="B6" s="16" t="s">
        <v>230</v>
      </c>
      <c r="C6" s="19" t="n">
        <v>0.15</v>
      </c>
      <c r="D6" s="2"/>
      <c r="E6" s="2"/>
      <c r="F6" s="2"/>
      <c r="G6" s="20" t="s">
        <v>231</v>
      </c>
    </row>
    <row r="7" customFormat="false" ht="15" hidden="false" customHeight="false" outlineLevel="0" collapsed="false">
      <c r="A7" s="2"/>
      <c r="B7" s="16" t="s">
        <v>232</v>
      </c>
      <c r="C7" s="19" t="n">
        <v>0.2</v>
      </c>
      <c r="D7" s="2"/>
      <c r="E7" s="2"/>
      <c r="F7" s="2"/>
      <c r="G7" s="20" t="s">
        <v>233</v>
      </c>
    </row>
    <row r="8" customFormat="false" ht="15" hidden="false" customHeight="false" outlineLevel="0" collapsed="false">
      <c r="A8" s="2"/>
      <c r="B8" s="16" t="s">
        <v>234</v>
      </c>
      <c r="C8" s="21" t="n">
        <v>624.92</v>
      </c>
      <c r="D8" s="2"/>
      <c r="E8" s="2"/>
      <c r="F8" s="2"/>
      <c r="G8" s="18" t="s">
        <v>235</v>
      </c>
    </row>
    <row r="9" customFormat="false" ht="15" hidden="false" customHeight="false" outlineLevel="0" collapsed="false">
      <c r="A9" s="2"/>
      <c r="B9" s="16" t="s">
        <v>236</v>
      </c>
      <c r="C9" s="21" t="n">
        <v>1282.02</v>
      </c>
      <c r="D9" s="2"/>
      <c r="E9" s="2"/>
      <c r="F9" s="2"/>
      <c r="G9" s="18" t="s">
        <v>237</v>
      </c>
    </row>
    <row r="10" customFormat="false" ht="15" hidden="false" customHeight="false" outlineLevel="0" collapsed="false">
      <c r="A10" s="2"/>
      <c r="B10" s="16" t="s">
        <v>238</v>
      </c>
      <c r="C10" s="22" t="n">
        <v>0</v>
      </c>
      <c r="D10" s="2"/>
      <c r="E10" s="2"/>
      <c r="F10" s="2"/>
      <c r="G10" s="18" t="s">
        <v>239</v>
      </c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</row>
    <row r="12" customFormat="false" ht="15" hidden="false" customHeight="false" outlineLevel="0" collapsed="false">
      <c r="A12" s="2"/>
      <c r="B12" s="15" t="s">
        <v>240</v>
      </c>
      <c r="C12" s="2"/>
      <c r="D12" s="2"/>
      <c r="E12" s="2"/>
      <c r="F12" s="2"/>
      <c r="G12" s="2"/>
    </row>
    <row r="13" customFormat="false" ht="15" hidden="false" customHeight="false" outlineLevel="0" collapsed="false">
      <c r="A13" s="2"/>
      <c r="B13" s="7" t="s">
        <v>37</v>
      </c>
      <c r="C13" s="7" t="s">
        <v>241</v>
      </c>
      <c r="D13" s="7" t="s">
        <v>242</v>
      </c>
      <c r="E13" s="7" t="s">
        <v>243</v>
      </c>
      <c r="F13" s="7" t="s">
        <v>244</v>
      </c>
      <c r="G13" s="7" t="s">
        <v>128</v>
      </c>
    </row>
    <row r="14" customFormat="false" ht="15" hidden="false" customHeight="false" outlineLevel="0" collapsed="false">
      <c r="A14" s="2"/>
      <c r="B14" s="16" t="s">
        <v>245</v>
      </c>
      <c r="C14" s="23" t="n">
        <v>0.5</v>
      </c>
      <c r="D14" s="23" t="n">
        <v>2</v>
      </c>
      <c r="E14" s="23" t="n">
        <v>4</v>
      </c>
      <c r="F14" s="23" t="n">
        <v>6</v>
      </c>
      <c r="G14" s="18" t="s">
        <v>246</v>
      </c>
    </row>
    <row r="15" customFormat="false" ht="15" hidden="false" customHeight="false" outlineLevel="0" collapsed="false">
      <c r="A15" s="2"/>
      <c r="B15" s="16" t="s">
        <v>247</v>
      </c>
      <c r="C15" s="24" t="n">
        <v>35000</v>
      </c>
      <c r="D15" s="24" t="n">
        <v>29000</v>
      </c>
      <c r="E15" s="24" t="n">
        <v>24000</v>
      </c>
      <c r="F15" s="24" t="n">
        <v>19000</v>
      </c>
      <c r="G15" s="18" t="s">
        <v>248</v>
      </c>
    </row>
    <row r="16" customFormat="false" ht="15" hidden="false" customHeight="false" outlineLevel="0" collapsed="false">
      <c r="A16" s="2"/>
      <c r="B16" s="16" t="s">
        <v>249</v>
      </c>
      <c r="C16" s="22" t="n">
        <v>0</v>
      </c>
      <c r="D16" s="22" t="n">
        <v>0</v>
      </c>
      <c r="E16" s="22" t="n">
        <v>0</v>
      </c>
      <c r="F16" s="22" t="n">
        <v>0</v>
      </c>
      <c r="G16" s="18" t="s">
        <v>250</v>
      </c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</row>
    <row r="18" customFormat="false" ht="15" hidden="false" customHeight="false" outlineLevel="0" collapsed="false">
      <c r="A18" s="2"/>
      <c r="B18" s="15" t="s">
        <v>251</v>
      </c>
      <c r="C18" s="2"/>
      <c r="D18" s="2"/>
      <c r="E18" s="2"/>
      <c r="F18" s="2"/>
      <c r="G18" s="2"/>
    </row>
    <row r="19" customFormat="false" ht="15" hidden="false" customHeight="false" outlineLevel="0" collapsed="false">
      <c r="A19" s="2"/>
      <c r="B19" s="7" t="s">
        <v>37</v>
      </c>
      <c r="C19" s="7" t="s">
        <v>241</v>
      </c>
      <c r="D19" s="7" t="s">
        <v>242</v>
      </c>
      <c r="E19" s="7" t="s">
        <v>243</v>
      </c>
      <c r="F19" s="7" t="s">
        <v>244</v>
      </c>
      <c r="G19" s="7" t="s">
        <v>128</v>
      </c>
    </row>
    <row r="20" customFormat="false" ht="15" hidden="false" customHeight="false" outlineLevel="0" collapsed="false">
      <c r="A20" s="2"/>
      <c r="B20" s="16" t="s">
        <v>252</v>
      </c>
      <c r="C20" s="25" t="n">
        <f aca="false">C15*$C$5</f>
        <v>105000</v>
      </c>
      <c r="D20" s="25" t="n">
        <f aca="false">D15*$C$5</f>
        <v>87000</v>
      </c>
      <c r="E20" s="25" t="n">
        <f aca="false">E15*$C$5</f>
        <v>72000</v>
      </c>
      <c r="F20" s="25" t="n">
        <f aca="false">F15*$C$5</f>
        <v>57000</v>
      </c>
      <c r="G20" s="26"/>
    </row>
    <row r="21" customFormat="false" ht="15" hidden="false" customHeight="false" outlineLevel="0" collapsed="false">
      <c r="A21" s="2"/>
      <c r="B21" s="16" t="s">
        <v>253</v>
      </c>
      <c r="C21" s="25" t="n">
        <f aca="false">C20*$C$6</f>
        <v>15750</v>
      </c>
      <c r="D21" s="25" t="n">
        <f aca="false">D20*$C$6</f>
        <v>13050</v>
      </c>
      <c r="E21" s="25" t="n">
        <f aca="false">E20*$C$6</f>
        <v>10800</v>
      </c>
      <c r="F21" s="25" t="n">
        <f aca="false">F20*$C$6</f>
        <v>8550</v>
      </c>
      <c r="G21" s="27" t="s">
        <v>254</v>
      </c>
    </row>
    <row r="22" customFormat="false" ht="15" hidden="false" customHeight="false" outlineLevel="0" collapsed="false">
      <c r="A22" s="2"/>
      <c r="B22" s="16" t="s">
        <v>255</v>
      </c>
      <c r="C22" s="25" t="n">
        <f aca="false">(C20+C21)*$C$7</f>
        <v>24150</v>
      </c>
      <c r="D22" s="25" t="n">
        <f aca="false">(D20+D21)*$C$7</f>
        <v>20010</v>
      </c>
      <c r="E22" s="25" t="n">
        <f aca="false">(E20+E21)*$C$7</f>
        <v>16560</v>
      </c>
      <c r="F22" s="25" t="n">
        <f aca="false">(F20+F21)*$C$7</f>
        <v>13110</v>
      </c>
      <c r="G22" s="27" t="s">
        <v>254</v>
      </c>
    </row>
    <row r="23" customFormat="false" ht="15" hidden="false" customHeight="false" outlineLevel="0" collapsed="false">
      <c r="A23" s="2"/>
      <c r="B23" s="16" t="s">
        <v>256</v>
      </c>
      <c r="C23" s="25" t="n">
        <f aca="false">C21+C22</f>
        <v>39900</v>
      </c>
      <c r="D23" s="25" t="n">
        <f aca="false">D21+D22</f>
        <v>33060</v>
      </c>
      <c r="E23" s="25" t="n">
        <f aca="false">E21+E22</f>
        <v>27360</v>
      </c>
      <c r="F23" s="25" t="n">
        <f aca="false">F21+F22</f>
        <v>21660</v>
      </c>
      <c r="G23" s="27"/>
    </row>
    <row r="24" customFormat="false" ht="15" hidden="false" customHeight="false" outlineLevel="0" collapsed="false">
      <c r="A24" s="2"/>
      <c r="B24" s="28" t="s">
        <v>257</v>
      </c>
      <c r="C24" s="29" t="n">
        <f aca="false">IF(C20=0,0,C23/C20)</f>
        <v>0.38</v>
      </c>
      <c r="D24" s="29" t="n">
        <f aca="false">IF(D20=0,0,D23/D20)</f>
        <v>0.38</v>
      </c>
      <c r="E24" s="29" t="n">
        <f aca="false">IF(E20=0,0,E23/E20)</f>
        <v>0.38</v>
      </c>
      <c r="F24" s="29" t="n">
        <f aca="false">IF(F20=0,0,F23/F20)</f>
        <v>0.38</v>
      </c>
      <c r="G24" s="27" t="s">
        <v>258</v>
      </c>
    </row>
    <row r="25" customFormat="false" ht="15" hidden="false" customHeight="false" outlineLevel="0" collapsed="false">
      <c r="A25" s="2"/>
      <c r="B25" s="16" t="s">
        <v>259</v>
      </c>
      <c r="C25" s="25" t="n">
        <f aca="false">IF(C14&lt;=3,$C$8,$C$9)</f>
        <v>624.92</v>
      </c>
      <c r="D25" s="25" t="n">
        <f aca="false">IF(D14&lt;=3,$C$8,$C$9)</f>
        <v>624.92</v>
      </c>
      <c r="E25" s="25" t="n">
        <f aca="false">IF(E14&lt;=3,$C$8,$C$9)</f>
        <v>1282.02</v>
      </c>
      <c r="F25" s="25" t="n">
        <f aca="false">IF(F14&lt;=3,$C$8,$C$9)</f>
        <v>1282.02</v>
      </c>
      <c r="G25" s="27" t="s">
        <v>260</v>
      </c>
    </row>
    <row r="26" customFormat="false" ht="15" hidden="false" customHeight="false" outlineLevel="0" collapsed="false">
      <c r="A26" s="2"/>
      <c r="B26" s="28" t="s">
        <v>261</v>
      </c>
      <c r="C26" s="30" t="n">
        <f aca="false">C23+C25+$C$10</f>
        <v>40524.92</v>
      </c>
      <c r="D26" s="30" t="n">
        <f aca="false">D23+D25+$C$10</f>
        <v>33684.92</v>
      </c>
      <c r="E26" s="30" t="n">
        <f aca="false">E23+E25+$C$10</f>
        <v>28642.02</v>
      </c>
      <c r="F26" s="30" t="n">
        <f aca="false">F23+F25+$C$10</f>
        <v>22942.02</v>
      </c>
      <c r="G26" s="27"/>
    </row>
    <row r="27" customFormat="false" ht="15" hidden="false" customHeight="false" outlineLevel="0" collapsed="false">
      <c r="A27" s="2"/>
      <c r="B27" s="28" t="s">
        <v>262</v>
      </c>
      <c r="C27" s="29" t="n">
        <f aca="false">IF(C20=0,0,C26/C20)</f>
        <v>0.385951619047619</v>
      </c>
      <c r="D27" s="29" t="n">
        <f aca="false">IF(D20=0,0,D26/D20)</f>
        <v>0.387182988505747</v>
      </c>
      <c r="E27" s="29" t="n">
        <f aca="false">IF(E20=0,0,E26/E20)</f>
        <v>0.397805833333333</v>
      </c>
      <c r="F27" s="29" t="n">
        <f aca="false">IF(F20=0,0,F26/F20)</f>
        <v>0.402491578947368</v>
      </c>
      <c r="G27" s="27"/>
    </row>
    <row r="28" customFormat="false" ht="15" hidden="false" customHeight="false" outlineLevel="0" collapsed="false">
      <c r="A28" s="2"/>
      <c r="B28" s="16" t="s">
        <v>263</v>
      </c>
      <c r="C28" s="25" t="n">
        <f aca="false">C23+C16+$C$10</f>
        <v>39900</v>
      </c>
      <c r="D28" s="25" t="n">
        <f aca="false">D23+D16+$C$10</f>
        <v>33060</v>
      </c>
      <c r="E28" s="25" t="n">
        <f aca="false">E23+E16+$C$10</f>
        <v>27360</v>
      </c>
      <c r="F28" s="25" t="n">
        <f aca="false">F23+F16+$C$10</f>
        <v>21660</v>
      </c>
      <c r="G28" s="27" t="s">
        <v>264</v>
      </c>
    </row>
    <row r="29" customFormat="false" ht="15" hidden="false" customHeight="false" outlineLevel="0" collapsed="false">
      <c r="A29" s="2"/>
      <c r="B29" s="16" t="s">
        <v>265</v>
      </c>
      <c r="C29" s="25" t="n">
        <f aca="false">C22</f>
        <v>24150</v>
      </c>
      <c r="D29" s="25" t="n">
        <f aca="false">D22</f>
        <v>20010</v>
      </c>
      <c r="E29" s="25" t="n">
        <f aca="false">E22</f>
        <v>16560</v>
      </c>
      <c r="F29" s="25" t="n">
        <f aca="false">F22</f>
        <v>13110</v>
      </c>
      <c r="G29" s="27" t="s">
        <v>266</v>
      </c>
    </row>
    <row r="30" customFormat="false" ht="15" hidden="false" customHeight="false" outlineLevel="0" collapsed="false">
      <c r="A30" s="2"/>
      <c r="B30" s="16" t="s">
        <v>267</v>
      </c>
      <c r="C30" s="25" t="n">
        <f aca="false">C28-C29</f>
        <v>15750</v>
      </c>
      <c r="D30" s="25" t="n">
        <f aca="false">D28-D29</f>
        <v>13050</v>
      </c>
      <c r="E30" s="25" t="n">
        <f aca="false">E28-E29</f>
        <v>10800</v>
      </c>
      <c r="F30" s="25" t="n">
        <f aca="false">F28-F29</f>
        <v>8550</v>
      </c>
      <c r="G30" s="27"/>
    </row>
    <row r="31" customFormat="false" ht="15" hidden="false" customHeight="false" outlineLevel="0" collapsed="false">
      <c r="A31" s="2"/>
      <c r="B31" s="28" t="s">
        <v>268</v>
      </c>
      <c r="C31" s="29" t="n">
        <f aca="false">IF(C20=0,0,C30/C20)</f>
        <v>0.15</v>
      </c>
      <c r="D31" s="29" t="n">
        <f aca="false">IF(D20=0,0,D30/D20)</f>
        <v>0.15</v>
      </c>
      <c r="E31" s="29" t="n">
        <f aca="false">IF(E20=0,0,E30/E20)</f>
        <v>0.15</v>
      </c>
      <c r="F31" s="29" t="n">
        <f aca="false">IF(F20=0,0,F30/F20)</f>
        <v>0.15</v>
      </c>
      <c r="G31" s="27"/>
    </row>
    <row r="32" customFormat="false" ht="15" hidden="false" customHeight="false" outlineLevel="0" collapsed="false">
      <c r="A32" s="2"/>
      <c r="B32" s="16" t="s">
        <v>269</v>
      </c>
      <c r="C32" s="25" t="n">
        <f aca="false">IF($C$5=0,0,C26/$C$5)</f>
        <v>13508.3066666667</v>
      </c>
      <c r="D32" s="25" t="n">
        <f aca="false">IF($C$5=0,0,D26/$C$5)</f>
        <v>11228.3066666667</v>
      </c>
      <c r="E32" s="25" t="n">
        <f aca="false">IF($C$5=0,0,E26/$C$5)</f>
        <v>9547.34</v>
      </c>
      <c r="F32" s="25" t="n">
        <f aca="false">IF($C$5=0,0,F26/$C$5)</f>
        <v>7647.34</v>
      </c>
      <c r="G32" s="27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</row>
    <row r="34" customFormat="false" ht="30" hidden="false" customHeight="true" outlineLevel="0" collapsed="false">
      <c r="A34" s="3" t="s">
        <v>270</v>
      </c>
      <c r="B34" s="3"/>
      <c r="C34" s="3"/>
      <c r="D34" s="3"/>
      <c r="E34" s="3"/>
      <c r="F34" s="3"/>
      <c r="G34" s="3"/>
    </row>
  </sheetData>
  <mergeCells count="2">
    <mergeCell ref="A2:G2"/>
    <mergeCell ref="A34:G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4" min="3" style="0" width="18"/>
    <col collapsed="false" customWidth="true" hidden="false" outlineLevel="0" max="5" min="5" style="0" width="52"/>
    <col collapsed="false" customWidth="true" hidden="false" outlineLevel="0" max="6" min="6" style="0" width="4"/>
  </cols>
  <sheetData>
    <row r="1" customFormat="false" ht="19.7" hidden="false" customHeight="false" outlineLevel="0" collapsed="false">
      <c r="A1" s="1" t="s">
        <v>271</v>
      </c>
      <c r="B1" s="2"/>
      <c r="C1" s="2"/>
      <c r="D1" s="2"/>
      <c r="E1" s="2"/>
      <c r="F1" s="2"/>
    </row>
    <row r="2" customFormat="false" ht="31.5" hidden="false" customHeight="true" outlineLevel="0" collapsed="false">
      <c r="A2" s="3" t="s">
        <v>272</v>
      </c>
      <c r="B2" s="3"/>
      <c r="C2" s="3"/>
      <c r="D2" s="3"/>
      <c r="E2" s="3"/>
      <c r="F2" s="3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</row>
    <row r="5" customFormat="false" ht="15" hidden="false" customHeight="false" outlineLevel="0" collapsed="false">
      <c r="A5" s="2"/>
      <c r="B5" s="16" t="s">
        <v>273</v>
      </c>
      <c r="C5" s="31" t="n">
        <f aca="false">白俄税费测算!C15</f>
        <v>35000</v>
      </c>
      <c r="D5" s="2"/>
      <c r="E5" s="18" t="s">
        <v>274</v>
      </c>
      <c r="F5" s="2"/>
    </row>
    <row r="6" customFormat="false" ht="15" hidden="false" customHeight="false" outlineLevel="0" collapsed="false">
      <c r="A6" s="2"/>
      <c r="B6" s="16" t="s">
        <v>275</v>
      </c>
      <c r="C6" s="32" t="n">
        <v>80</v>
      </c>
      <c r="D6" s="2"/>
      <c r="E6" s="18" t="s">
        <v>276</v>
      </c>
      <c r="F6" s="2"/>
    </row>
    <row r="7" customFormat="false" ht="15" hidden="false" customHeight="false" outlineLevel="0" collapsed="false">
      <c r="A7" s="2"/>
      <c r="B7" s="16" t="s">
        <v>277</v>
      </c>
      <c r="C7" s="33" t="n">
        <v>197</v>
      </c>
      <c r="D7" s="2"/>
      <c r="E7" s="18" t="s">
        <v>278</v>
      </c>
      <c r="F7" s="2"/>
    </row>
    <row r="8" customFormat="false" ht="15" hidden="false" customHeight="false" outlineLevel="0" collapsed="false">
      <c r="A8" s="2"/>
      <c r="B8" s="16" t="s">
        <v>279</v>
      </c>
      <c r="C8" s="34" t="n">
        <v>0</v>
      </c>
      <c r="D8" s="2"/>
      <c r="E8" s="18" t="s">
        <v>280</v>
      </c>
      <c r="F8" s="2"/>
    </row>
    <row r="9" customFormat="false" ht="15" hidden="false" customHeight="false" outlineLevel="0" collapsed="false">
      <c r="A9" s="2"/>
      <c r="B9" s="16" t="s">
        <v>281</v>
      </c>
      <c r="C9" s="23" t="n">
        <v>0.5</v>
      </c>
      <c r="D9" s="2"/>
      <c r="E9" s="18" t="s">
        <v>282</v>
      </c>
      <c r="F9" s="2"/>
    </row>
    <row r="10" customFormat="false" ht="15" hidden="false" customHeight="false" outlineLevel="0" collapsed="false">
      <c r="A10" s="2"/>
      <c r="B10" s="16" t="s">
        <v>283</v>
      </c>
      <c r="C10" s="24" t="n">
        <v>20000</v>
      </c>
      <c r="D10" s="2"/>
      <c r="E10" s="18" t="s">
        <v>284</v>
      </c>
      <c r="F10" s="2"/>
    </row>
    <row r="11" customFormat="false" ht="15" hidden="false" customHeight="false" outlineLevel="0" collapsed="false">
      <c r="A11" s="2"/>
      <c r="B11" s="16" t="s">
        <v>285</v>
      </c>
      <c r="C11" s="32" t="n">
        <v>109.7</v>
      </c>
      <c r="D11" s="2"/>
      <c r="E11" s="18" t="s">
        <v>286</v>
      </c>
      <c r="F11" s="2"/>
    </row>
    <row r="12" customFormat="false" ht="15" hidden="false" customHeight="false" outlineLevel="0" collapsed="false">
      <c r="A12" s="2"/>
      <c r="B12" s="16" t="s">
        <v>287</v>
      </c>
      <c r="C12" s="19" t="n">
        <v>0.22</v>
      </c>
      <c r="D12" s="2"/>
      <c r="E12" s="20" t="s">
        <v>288</v>
      </c>
      <c r="F12" s="2"/>
    </row>
    <row r="13" customFormat="false" ht="15" hidden="false" customHeight="false" outlineLevel="0" collapsed="false">
      <c r="A13" s="2"/>
      <c r="B13" s="16" t="s">
        <v>289</v>
      </c>
      <c r="C13" s="19" t="n">
        <v>0.15</v>
      </c>
      <c r="D13" s="2"/>
      <c r="E13" s="18" t="s">
        <v>290</v>
      </c>
      <c r="F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</row>
    <row r="15" customFormat="false" ht="15" hidden="false" customHeight="false" outlineLevel="0" collapsed="false">
      <c r="A15" s="2"/>
      <c r="B15" s="15" t="s">
        <v>291</v>
      </c>
      <c r="C15" s="2"/>
      <c r="D15" s="2"/>
      <c r="E15" s="2"/>
      <c r="F15" s="2"/>
    </row>
    <row r="16" customFormat="false" ht="15" hidden="false" customHeight="false" outlineLevel="0" collapsed="false">
      <c r="A16" s="2"/>
      <c r="B16" s="16" t="s">
        <v>136</v>
      </c>
      <c r="C16" s="35" t="n">
        <f aca="false">C5*C6</f>
        <v>2800000</v>
      </c>
      <c r="D16" s="2"/>
      <c r="E16" s="2"/>
      <c r="F16" s="2"/>
    </row>
    <row r="17" customFormat="false" ht="15" hidden="false" customHeight="false" outlineLevel="0" collapsed="false">
      <c r="A17" s="2"/>
      <c r="B17" s="16" t="s">
        <v>51</v>
      </c>
      <c r="C17" s="35" t="n">
        <f aca="false">C16*C13</f>
        <v>420000</v>
      </c>
      <c r="D17" s="2"/>
      <c r="E17" s="2"/>
      <c r="F17" s="2"/>
    </row>
    <row r="18" customFormat="false" ht="15" hidden="false" customHeight="false" outlineLevel="0" collapsed="false">
      <c r="A18" s="2"/>
      <c r="B18" s="16" t="s">
        <v>292</v>
      </c>
      <c r="C18" s="35" t="n">
        <f aca="false">IF(C7&lt;=90,0,IF(C7&lt;=150,64,IF(C7&lt;=200,613,IF(C7&lt;=300,1004,IF(C7&lt;=400,1711,IF(C7&lt;=500,C8,1829))))))</f>
        <v>613</v>
      </c>
      <c r="D18" s="2"/>
      <c r="E18" s="2"/>
      <c r="F18" s="2"/>
    </row>
    <row r="19" customFormat="false" ht="15" hidden="false" customHeight="false" outlineLevel="0" collapsed="false">
      <c r="A19" s="2"/>
      <c r="B19" s="16" t="s">
        <v>66</v>
      </c>
      <c r="C19" s="35" t="n">
        <f aca="false">C7*C18</f>
        <v>120761</v>
      </c>
      <c r="D19" s="2"/>
      <c r="E19" s="2"/>
      <c r="F19" s="2"/>
    </row>
    <row r="20" customFormat="false" ht="15" hidden="false" customHeight="false" outlineLevel="0" collapsed="false">
      <c r="A20" s="2"/>
      <c r="B20" s="16" t="s">
        <v>94</v>
      </c>
      <c r="C20" s="35" t="n">
        <f aca="false">(C16+C17+C19)*C12</f>
        <v>734967.42</v>
      </c>
      <c r="D20" s="2"/>
      <c r="E20" s="2"/>
      <c r="F20" s="2"/>
    </row>
    <row r="21" customFormat="false" ht="15" hidden="false" customHeight="false" outlineLevel="0" collapsed="false">
      <c r="A21" s="2"/>
      <c r="B21" s="16" t="s">
        <v>70</v>
      </c>
      <c r="C21" s="35" t="n">
        <f aca="false">IF(C7&lt;=80,IF(C9&lt;=3,3400,5200),C10*C11)</f>
        <v>2194000</v>
      </c>
      <c r="D21" s="2"/>
      <c r="E21" s="2"/>
      <c r="F21" s="2"/>
    </row>
    <row r="22" customFormat="false" ht="15" hidden="false" customHeight="false" outlineLevel="0" collapsed="false">
      <c r="A22" s="2"/>
      <c r="B22" s="28" t="s">
        <v>293</v>
      </c>
      <c r="C22" s="36" t="n">
        <f aca="false">C17+C19+C20+C21</f>
        <v>3469728.42</v>
      </c>
      <c r="D22" s="2"/>
      <c r="E22" s="2"/>
      <c r="F22" s="2"/>
    </row>
    <row r="23" customFormat="false" ht="15" hidden="false" customHeight="false" outlineLevel="0" collapsed="false">
      <c r="A23" s="2"/>
      <c r="B23" s="28" t="s">
        <v>294</v>
      </c>
      <c r="C23" s="29" t="n">
        <f aca="false">IF(C16=0,0,C22/C16)</f>
        <v>1.23918872142857</v>
      </c>
      <c r="D23" s="2"/>
      <c r="E23" s="2"/>
      <c r="F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</row>
    <row r="25" customFormat="false" ht="15" hidden="false" customHeight="false" outlineLevel="0" collapsed="false">
      <c r="A25" s="2"/>
      <c r="B25" s="15" t="s">
        <v>295</v>
      </c>
      <c r="C25" s="2"/>
      <c r="D25" s="2"/>
      <c r="E25" s="2"/>
      <c r="F25" s="2"/>
    </row>
    <row r="26" customFormat="false" ht="15" hidden="false" customHeight="false" outlineLevel="0" collapsed="false">
      <c r="A26" s="2"/>
      <c r="B26" s="28" t="s">
        <v>296</v>
      </c>
      <c r="C26" s="37" t="n">
        <f aca="false">白俄税费测算!C26</f>
        <v>40524.92</v>
      </c>
      <c r="D26" s="2"/>
      <c r="E26" s="2"/>
      <c r="F26" s="2"/>
    </row>
    <row r="27" customFormat="false" ht="15" hidden="false" customHeight="false" outlineLevel="0" collapsed="false">
      <c r="A27" s="2"/>
      <c r="B27" s="28" t="s">
        <v>297</v>
      </c>
      <c r="C27" s="38" t="n">
        <f aca="false">白俄税费测算!C27</f>
        <v>0.385951619047619</v>
      </c>
      <c r="D27" s="2"/>
      <c r="E27" s="2"/>
      <c r="F27" s="2"/>
    </row>
    <row r="28" customFormat="false" ht="15" hidden="false" customHeight="false" outlineLevel="0" collapsed="false">
      <c r="A28" s="2"/>
      <c r="B28" s="28" t="s">
        <v>298</v>
      </c>
      <c r="C28" s="39" t="n">
        <f aca="false">IF(C27=0,0,C23/C27)</f>
        <v>3.21073590644966</v>
      </c>
      <c r="D28" s="2"/>
      <c r="E28" s="2"/>
      <c r="F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</row>
    <row r="30" customFormat="false" ht="15" hidden="false" customHeight="false" outlineLevel="0" collapsed="false">
      <c r="A30" s="2"/>
      <c r="B30" s="15" t="s">
        <v>299</v>
      </c>
      <c r="C30" s="2"/>
      <c r="D30" s="2"/>
      <c r="E30" s="2"/>
      <c r="F30" s="2"/>
    </row>
    <row r="31" customFormat="false" ht="15" hidden="false" customHeight="false" outlineLevel="0" collapsed="false">
      <c r="A31" s="2"/>
      <c r="B31" s="7" t="s">
        <v>37</v>
      </c>
      <c r="C31" s="7" t="s">
        <v>172</v>
      </c>
      <c r="D31" s="7" t="s">
        <v>171</v>
      </c>
      <c r="E31" s="2"/>
      <c r="F31" s="2"/>
    </row>
    <row r="32" customFormat="false" ht="15" hidden="false" customHeight="false" outlineLevel="0" collapsed="false">
      <c r="A32" s="2"/>
      <c r="B32" s="16" t="s">
        <v>300</v>
      </c>
      <c r="C32" s="40" t="n">
        <f aca="false">C17/C16</f>
        <v>0.15</v>
      </c>
      <c r="D32" s="40" t="n">
        <f aca="false">白俄税费测算!C21/白俄税费测算!C20</f>
        <v>0.15</v>
      </c>
      <c r="E32" s="2"/>
      <c r="F32" s="2"/>
    </row>
    <row r="33" customFormat="false" ht="15" hidden="false" customHeight="false" outlineLevel="0" collapsed="false">
      <c r="A33" s="2"/>
      <c r="B33" s="16" t="s">
        <v>66</v>
      </c>
      <c r="C33" s="40" t="n">
        <f aca="false">C19/C16</f>
        <v>0.0431289285714286</v>
      </c>
      <c r="D33" s="40" t="n">
        <f aca="false">0</f>
        <v>0</v>
      </c>
      <c r="E33" s="2"/>
      <c r="F33" s="2"/>
    </row>
    <row r="34" customFormat="false" ht="15" hidden="false" customHeight="false" outlineLevel="0" collapsed="false">
      <c r="A34" s="2"/>
      <c r="B34" s="16" t="s">
        <v>94</v>
      </c>
      <c r="C34" s="40" t="n">
        <f aca="false">C20/C16</f>
        <v>0.262488364285714</v>
      </c>
      <c r="D34" s="40" t="n">
        <f aca="false">白俄税费测算!C22/白俄税费测算!C20</f>
        <v>0.23</v>
      </c>
      <c r="E34" s="2"/>
      <c r="F34" s="2"/>
    </row>
    <row r="35" customFormat="false" ht="15" hidden="false" customHeight="false" outlineLevel="0" collapsed="false">
      <c r="A35" s="2"/>
      <c r="B35" s="16" t="s">
        <v>70</v>
      </c>
      <c r="C35" s="40" t="n">
        <f aca="false">C21/C16</f>
        <v>0.783571428571429</v>
      </c>
      <c r="D35" s="40" t="n">
        <f aca="false">白俄税费测算!C25/白俄税费测算!C20</f>
        <v>0.00595161904761905</v>
      </c>
      <c r="E35" s="2"/>
      <c r="F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</row>
    <row r="37" customFormat="false" ht="43.5" hidden="false" customHeight="true" outlineLevel="0" collapsed="false">
      <c r="A37" s="3" t="s">
        <v>301</v>
      </c>
      <c r="B37" s="3"/>
      <c r="C37" s="3"/>
      <c r="D37" s="3"/>
      <c r="E37" s="3"/>
      <c r="F37" s="3"/>
    </row>
  </sheetData>
  <mergeCells count="2">
    <mergeCell ref="A2:F2"/>
    <mergeCell ref="A37:F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58"/>
    <col collapsed="false" customWidth="true" hidden="false" outlineLevel="0" max="4" min="4" style="0" width="20"/>
    <col collapsed="false" customWidth="true" hidden="false" outlineLevel="0" max="5" min="5" style="0" width="52"/>
    <col collapsed="false" customWidth="true" hidden="false" outlineLevel="0" max="6" min="6" style="0" width="8"/>
  </cols>
  <sheetData>
    <row r="1" customFormat="false" ht="19.7" hidden="false" customHeight="false" outlineLevel="0" collapsed="false">
      <c r="A1" s="1" t="s">
        <v>302</v>
      </c>
      <c r="B1" s="2"/>
      <c r="C1" s="2"/>
      <c r="D1" s="2"/>
      <c r="E1" s="2"/>
      <c r="F1" s="2"/>
    </row>
    <row r="2" customFormat="false" ht="31.5" hidden="false" customHeight="true" outlineLevel="0" collapsed="false">
      <c r="A2" s="3" t="s">
        <v>303</v>
      </c>
      <c r="B2" s="3"/>
      <c r="C2" s="3"/>
      <c r="D2" s="3"/>
      <c r="E2" s="3"/>
      <c r="F2" s="3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4" t="s">
        <v>304</v>
      </c>
      <c r="B4" s="5"/>
      <c r="C4" s="5"/>
      <c r="D4" s="5"/>
      <c r="E4" s="5"/>
      <c r="F4" s="5"/>
    </row>
    <row r="5" customFormat="false" ht="15" hidden="false" customHeight="false" outlineLevel="0" collapsed="false">
      <c r="A5" s="7" t="s">
        <v>305</v>
      </c>
      <c r="B5" s="7" t="s">
        <v>306</v>
      </c>
      <c r="C5" s="7" t="s">
        <v>307</v>
      </c>
      <c r="D5" s="7" t="s">
        <v>6</v>
      </c>
      <c r="E5" s="7" t="s">
        <v>308</v>
      </c>
      <c r="F5" s="7" t="s">
        <v>7</v>
      </c>
    </row>
    <row r="6" customFormat="false" ht="79.5" hidden="false" customHeight="true" outlineLevel="0" collapsed="false">
      <c r="A6" s="8" t="n">
        <v>1</v>
      </c>
      <c r="B6" s="9" t="s">
        <v>309</v>
      </c>
      <c r="C6" s="10" t="s">
        <v>310</v>
      </c>
      <c r="D6" s="10" t="s">
        <v>45</v>
      </c>
      <c r="E6" s="9" t="s">
        <v>311</v>
      </c>
      <c r="F6" s="11" t="s">
        <v>11</v>
      </c>
    </row>
    <row r="7" customFormat="false" ht="79.5" hidden="false" customHeight="true" outlineLevel="0" collapsed="false">
      <c r="A7" s="8" t="n">
        <v>2</v>
      </c>
      <c r="B7" s="9" t="s">
        <v>312</v>
      </c>
      <c r="C7" s="10" t="s">
        <v>313</v>
      </c>
      <c r="D7" s="10" t="s">
        <v>314</v>
      </c>
      <c r="E7" s="9" t="s">
        <v>315</v>
      </c>
      <c r="F7" s="11" t="s">
        <v>11</v>
      </c>
    </row>
    <row r="8" customFormat="false" ht="79.5" hidden="false" customHeight="true" outlineLevel="0" collapsed="false">
      <c r="A8" s="8" t="n">
        <v>3</v>
      </c>
      <c r="B8" s="9" t="s">
        <v>316</v>
      </c>
      <c r="C8" s="10" t="s">
        <v>317</v>
      </c>
      <c r="D8" s="10" t="s">
        <v>318</v>
      </c>
      <c r="E8" s="9" t="s">
        <v>319</v>
      </c>
      <c r="F8" s="11" t="s">
        <v>11</v>
      </c>
    </row>
    <row r="9" customFormat="false" ht="79.5" hidden="false" customHeight="true" outlineLevel="0" collapsed="false">
      <c r="A9" s="8" t="n">
        <v>4</v>
      </c>
      <c r="B9" s="9" t="s">
        <v>320</v>
      </c>
      <c r="C9" s="9" t="s">
        <v>321</v>
      </c>
      <c r="D9" s="10" t="s">
        <v>74</v>
      </c>
      <c r="E9" s="9" t="s">
        <v>322</v>
      </c>
      <c r="F9" s="12" t="s">
        <v>27</v>
      </c>
    </row>
    <row r="10" customFormat="false" ht="79.5" hidden="false" customHeight="true" outlineLevel="0" collapsed="false">
      <c r="A10" s="8" t="n">
        <v>5</v>
      </c>
      <c r="B10" s="9" t="s">
        <v>323</v>
      </c>
      <c r="C10" s="9" t="s">
        <v>324</v>
      </c>
      <c r="D10" s="10" t="s">
        <v>325</v>
      </c>
      <c r="E10" s="9" t="s">
        <v>326</v>
      </c>
      <c r="F10" s="11" t="s">
        <v>11</v>
      </c>
    </row>
    <row r="11" customFormat="false" ht="79.5" hidden="false" customHeight="true" outlineLevel="0" collapsed="false">
      <c r="A11" s="8" t="n">
        <v>6</v>
      </c>
      <c r="B11" s="9" t="s">
        <v>327</v>
      </c>
      <c r="C11" s="9" t="s">
        <v>328</v>
      </c>
      <c r="D11" s="10" t="s">
        <v>329</v>
      </c>
      <c r="E11" s="9" t="s">
        <v>330</v>
      </c>
      <c r="F11" s="11" t="s">
        <v>11</v>
      </c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</row>
    <row r="13" customFormat="false" ht="15" hidden="false" customHeight="false" outlineLevel="0" collapsed="false">
      <c r="A13" s="4" t="s">
        <v>331</v>
      </c>
      <c r="B13" s="5"/>
      <c r="C13" s="5"/>
      <c r="D13" s="5"/>
      <c r="E13" s="5"/>
      <c r="F13" s="5"/>
    </row>
    <row r="14" customFormat="false" ht="27.75" hidden="false" customHeight="true" outlineLevel="0" collapsed="false">
      <c r="A14" s="13" t="s">
        <v>332</v>
      </c>
      <c r="B14" s="13"/>
      <c r="C14" s="13"/>
      <c r="D14" s="13"/>
      <c r="E14" s="13"/>
      <c r="F14" s="13"/>
    </row>
    <row r="15" customFormat="false" ht="27.75" hidden="false" customHeight="true" outlineLevel="0" collapsed="false">
      <c r="A15" s="13" t="s">
        <v>333</v>
      </c>
      <c r="B15" s="13"/>
      <c r="C15" s="13"/>
      <c r="D15" s="13"/>
      <c r="E15" s="13"/>
      <c r="F15" s="13"/>
    </row>
    <row r="16" customFormat="false" ht="27.75" hidden="false" customHeight="true" outlineLevel="0" collapsed="false">
      <c r="A16" s="13" t="s">
        <v>334</v>
      </c>
      <c r="B16" s="13"/>
      <c r="C16" s="13"/>
      <c r="D16" s="13"/>
      <c r="E16" s="13"/>
      <c r="F16" s="13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</row>
    <row r="18" customFormat="false" ht="15" hidden="false" customHeight="false" outlineLevel="0" collapsed="false">
      <c r="A18" s="4" t="s">
        <v>335</v>
      </c>
      <c r="B18" s="5"/>
      <c r="C18" s="5"/>
      <c r="D18" s="5"/>
      <c r="E18" s="5"/>
      <c r="F18" s="5"/>
    </row>
    <row r="19" customFormat="false" ht="15" hidden="false" customHeight="false" outlineLevel="0" collapsed="false">
      <c r="A19" s="7" t="s">
        <v>336</v>
      </c>
      <c r="B19" s="7" t="s">
        <v>337</v>
      </c>
      <c r="C19" s="7" t="s">
        <v>338</v>
      </c>
      <c r="D19" s="7" t="s">
        <v>339</v>
      </c>
      <c r="E19" s="6" t="s">
        <v>340</v>
      </c>
      <c r="F19" s="2"/>
    </row>
    <row r="20" customFormat="false" ht="25.35" hidden="false" customHeight="false" outlineLevel="0" collapsed="false">
      <c r="A20" s="10" t="s">
        <v>87</v>
      </c>
      <c r="B20" s="9" t="s">
        <v>341</v>
      </c>
      <c r="C20" s="10" t="s">
        <v>342</v>
      </c>
      <c r="D20" s="9" t="s">
        <v>343</v>
      </c>
      <c r="E20" s="41" t="s">
        <v>344</v>
      </c>
      <c r="F20" s="2"/>
    </row>
    <row r="21" customFormat="false" ht="25.35" hidden="false" customHeight="false" outlineLevel="0" collapsed="false">
      <c r="A21" s="10" t="s">
        <v>345</v>
      </c>
      <c r="B21" s="9" t="s">
        <v>341</v>
      </c>
      <c r="C21" s="10" t="s">
        <v>346</v>
      </c>
      <c r="D21" s="9" t="s">
        <v>343</v>
      </c>
      <c r="E21" s="41" t="s">
        <v>347</v>
      </c>
      <c r="F21" s="2"/>
    </row>
    <row r="22" customFormat="false" ht="26.85" hidden="false" customHeight="false" outlineLevel="0" collapsed="false">
      <c r="A22" s="10" t="s">
        <v>348</v>
      </c>
      <c r="B22" s="9" t="s">
        <v>341</v>
      </c>
      <c r="C22" s="10" t="s">
        <v>349</v>
      </c>
      <c r="D22" s="9" t="s">
        <v>343</v>
      </c>
      <c r="E22" s="41" t="s">
        <v>350</v>
      </c>
      <c r="F22" s="2"/>
    </row>
    <row r="23" customFormat="false" ht="23.85" hidden="false" customHeight="false" outlineLevel="0" collapsed="false">
      <c r="A23" s="10" t="s">
        <v>351</v>
      </c>
      <c r="B23" s="9" t="s">
        <v>341</v>
      </c>
      <c r="C23" s="10" t="s">
        <v>352</v>
      </c>
      <c r="D23" s="9" t="s">
        <v>343</v>
      </c>
      <c r="E23" s="41" t="s">
        <v>353</v>
      </c>
      <c r="F23" s="2"/>
    </row>
    <row r="24" customFormat="false" ht="25.35" hidden="false" customHeight="false" outlineLevel="0" collapsed="false">
      <c r="A24" s="10" t="s">
        <v>354</v>
      </c>
      <c r="B24" s="9" t="s">
        <v>341</v>
      </c>
      <c r="C24" s="10" t="s">
        <v>355</v>
      </c>
      <c r="D24" s="9" t="s">
        <v>343</v>
      </c>
      <c r="E24" s="41" t="s">
        <v>356</v>
      </c>
      <c r="F24" s="2"/>
    </row>
    <row r="25" customFormat="false" ht="15" hidden="false" customHeight="false" outlineLevel="0" collapsed="false">
      <c r="A25" s="10" t="s">
        <v>357</v>
      </c>
      <c r="B25" s="9" t="s">
        <v>341</v>
      </c>
      <c r="C25" s="10" t="s">
        <v>358</v>
      </c>
      <c r="D25" s="9" t="s">
        <v>343</v>
      </c>
      <c r="E25" s="41" t="s">
        <v>359</v>
      </c>
      <c r="F25" s="2"/>
    </row>
    <row r="26" customFormat="false" ht="15" hidden="false" customHeight="false" outlineLevel="0" collapsed="false">
      <c r="A26" s="10" t="s">
        <v>360</v>
      </c>
      <c r="B26" s="9" t="s">
        <v>341</v>
      </c>
      <c r="C26" s="10" t="s">
        <v>361</v>
      </c>
      <c r="D26" s="9" t="s">
        <v>343</v>
      </c>
      <c r="E26" s="41" t="s">
        <v>362</v>
      </c>
      <c r="F26" s="2"/>
    </row>
    <row r="27" customFormat="false" ht="25.35" hidden="false" customHeight="false" outlineLevel="0" collapsed="false">
      <c r="A27" s="10" t="s">
        <v>363</v>
      </c>
      <c r="B27" s="9" t="s">
        <v>341</v>
      </c>
      <c r="C27" s="10" t="s">
        <v>364</v>
      </c>
      <c r="D27" s="9" t="s">
        <v>343</v>
      </c>
      <c r="E27" s="41" t="s">
        <v>365</v>
      </c>
      <c r="F27" s="2"/>
    </row>
    <row r="28" customFormat="false" ht="15" hidden="false" customHeight="false" outlineLevel="0" collapsed="false">
      <c r="A28" s="10" t="s">
        <v>105</v>
      </c>
      <c r="B28" s="9" t="s">
        <v>341</v>
      </c>
      <c r="C28" s="10" t="s">
        <v>366</v>
      </c>
      <c r="D28" s="9" t="s">
        <v>343</v>
      </c>
      <c r="E28" s="41" t="s">
        <v>367</v>
      </c>
      <c r="F28" s="2"/>
    </row>
    <row r="29" customFormat="false" ht="26.85" hidden="false" customHeight="false" outlineLevel="0" collapsed="false">
      <c r="A29" s="10" t="s">
        <v>368</v>
      </c>
      <c r="B29" s="9" t="s">
        <v>341</v>
      </c>
      <c r="C29" s="10" t="s">
        <v>369</v>
      </c>
      <c r="D29" s="9" t="s">
        <v>343</v>
      </c>
      <c r="E29" s="41" t="s">
        <v>370</v>
      </c>
      <c r="F29" s="2"/>
    </row>
    <row r="30" customFormat="false" ht="23.85" hidden="false" customHeight="false" outlineLevel="0" collapsed="false">
      <c r="A30" s="10" t="s">
        <v>371</v>
      </c>
      <c r="B30" s="9" t="s">
        <v>372</v>
      </c>
      <c r="C30" s="10" t="s">
        <v>373</v>
      </c>
      <c r="D30" s="9" t="s">
        <v>343</v>
      </c>
      <c r="E30" s="41" t="s">
        <v>374</v>
      </c>
      <c r="F30" s="2"/>
    </row>
    <row r="31" customFormat="false" ht="26.85" hidden="false" customHeight="false" outlineLevel="0" collapsed="false">
      <c r="A31" s="10" t="s">
        <v>375</v>
      </c>
      <c r="B31" s="9" t="s">
        <v>372</v>
      </c>
      <c r="C31" s="10" t="s">
        <v>376</v>
      </c>
      <c r="D31" s="9" t="s">
        <v>343</v>
      </c>
      <c r="E31" s="41" t="s">
        <v>377</v>
      </c>
      <c r="F31" s="2"/>
    </row>
    <row r="32" customFormat="false" ht="15" hidden="false" customHeight="false" outlineLevel="0" collapsed="false">
      <c r="A32" s="10" t="s">
        <v>135</v>
      </c>
      <c r="B32" s="10" t="s">
        <v>378</v>
      </c>
      <c r="C32" s="10" t="s">
        <v>379</v>
      </c>
      <c r="D32" s="9" t="s">
        <v>380</v>
      </c>
      <c r="E32" s="41" t="s">
        <v>381</v>
      </c>
      <c r="F32" s="2"/>
    </row>
    <row r="33" customFormat="false" ht="26.85" hidden="false" customHeight="false" outlineLevel="0" collapsed="false">
      <c r="A33" s="10" t="s">
        <v>382</v>
      </c>
      <c r="B33" s="10" t="s">
        <v>378</v>
      </c>
      <c r="C33" s="10" t="s">
        <v>383</v>
      </c>
      <c r="D33" s="9" t="s">
        <v>380</v>
      </c>
      <c r="E33" s="41" t="s">
        <v>384</v>
      </c>
      <c r="F33" s="2"/>
    </row>
    <row r="34" customFormat="false" ht="25.35" hidden="false" customHeight="false" outlineLevel="0" collapsed="false">
      <c r="A34" s="10" t="s">
        <v>385</v>
      </c>
      <c r="B34" s="10" t="s">
        <v>378</v>
      </c>
      <c r="C34" s="10" t="s">
        <v>386</v>
      </c>
      <c r="D34" s="9" t="s">
        <v>380</v>
      </c>
      <c r="E34" s="41" t="s">
        <v>387</v>
      </c>
      <c r="F34" s="2"/>
    </row>
    <row r="35" customFormat="false" ht="23.85" hidden="false" customHeight="false" outlineLevel="0" collapsed="false">
      <c r="A35" s="10" t="s">
        <v>388</v>
      </c>
      <c r="B35" s="10" t="s">
        <v>378</v>
      </c>
      <c r="C35" s="10" t="s">
        <v>389</v>
      </c>
      <c r="D35" s="9" t="s">
        <v>380</v>
      </c>
      <c r="E35" s="41" t="s">
        <v>390</v>
      </c>
      <c r="F35" s="2"/>
    </row>
    <row r="36" customFormat="false" ht="25.35" hidden="false" customHeight="false" outlineLevel="0" collapsed="false">
      <c r="A36" s="10" t="s">
        <v>391</v>
      </c>
      <c r="B36" s="10" t="s">
        <v>378</v>
      </c>
      <c r="C36" s="10" t="s">
        <v>392</v>
      </c>
      <c r="D36" s="9" t="s">
        <v>380</v>
      </c>
      <c r="E36" s="41" t="s">
        <v>393</v>
      </c>
      <c r="F36" s="2"/>
    </row>
    <row r="37" customFormat="false" ht="15" hidden="false" customHeight="false" outlineLevel="0" collapsed="false">
      <c r="A37" s="10" t="s">
        <v>394</v>
      </c>
      <c r="B37" s="10" t="s">
        <v>378</v>
      </c>
      <c r="C37" s="10" t="s">
        <v>395</v>
      </c>
      <c r="D37" s="9" t="s">
        <v>380</v>
      </c>
      <c r="E37" s="41" t="s">
        <v>396</v>
      </c>
      <c r="F37" s="2"/>
    </row>
    <row r="38" customFormat="false" ht="25.35" hidden="false" customHeight="false" outlineLevel="0" collapsed="false">
      <c r="A38" s="10" t="s">
        <v>397</v>
      </c>
      <c r="B38" s="10" t="s">
        <v>378</v>
      </c>
      <c r="C38" s="10" t="s">
        <v>398</v>
      </c>
      <c r="D38" s="9" t="s">
        <v>380</v>
      </c>
      <c r="E38" s="41" t="s">
        <v>399</v>
      </c>
      <c r="F38" s="2"/>
    </row>
    <row r="39" customFormat="false" ht="25.35" hidden="false" customHeight="false" outlineLevel="0" collapsed="false">
      <c r="A39" s="10" t="s">
        <v>400</v>
      </c>
      <c r="B39" s="10" t="s">
        <v>378</v>
      </c>
      <c r="C39" s="10" t="s">
        <v>401</v>
      </c>
      <c r="D39" s="9" t="s">
        <v>380</v>
      </c>
      <c r="E39" s="41" t="s">
        <v>402</v>
      </c>
      <c r="F39" s="2"/>
    </row>
    <row r="40" customFormat="false" ht="23.85" hidden="false" customHeight="false" outlineLevel="0" collapsed="false">
      <c r="A40" s="10" t="s">
        <v>403</v>
      </c>
      <c r="B40" s="10" t="s">
        <v>404</v>
      </c>
      <c r="C40" s="10" t="s">
        <v>405</v>
      </c>
      <c r="D40" s="9" t="s">
        <v>406</v>
      </c>
      <c r="E40" s="41" t="s">
        <v>407</v>
      </c>
      <c r="F40" s="2"/>
    </row>
    <row r="41" customFormat="false" ht="23.85" hidden="false" customHeight="false" outlineLevel="0" collapsed="false">
      <c r="A41" s="10" t="s">
        <v>120</v>
      </c>
      <c r="B41" s="10" t="s">
        <v>404</v>
      </c>
      <c r="C41" s="10" t="s">
        <v>408</v>
      </c>
      <c r="D41" s="9" t="s">
        <v>406</v>
      </c>
      <c r="E41" s="41" t="s">
        <v>409</v>
      </c>
      <c r="F41" s="2"/>
    </row>
    <row r="42" customFormat="false" ht="23.85" hidden="false" customHeight="false" outlineLevel="0" collapsed="false">
      <c r="A42" s="10" t="s">
        <v>410</v>
      </c>
      <c r="B42" s="10" t="s">
        <v>404</v>
      </c>
      <c r="C42" s="10" t="s">
        <v>411</v>
      </c>
      <c r="D42" s="9" t="s">
        <v>406</v>
      </c>
      <c r="E42" s="41" t="s">
        <v>412</v>
      </c>
      <c r="F42" s="2"/>
    </row>
    <row r="43" customFormat="false" ht="15" hidden="false" customHeight="false" outlineLevel="0" collapsed="false">
      <c r="A43" s="10" t="s">
        <v>413</v>
      </c>
      <c r="B43" s="10" t="s">
        <v>404</v>
      </c>
      <c r="C43" s="10" t="s">
        <v>414</v>
      </c>
      <c r="D43" s="9" t="s">
        <v>406</v>
      </c>
      <c r="E43" s="41" t="s">
        <v>415</v>
      </c>
      <c r="F43" s="2"/>
    </row>
    <row r="44" customFormat="false" ht="26.85" hidden="false" customHeight="false" outlineLevel="0" collapsed="false">
      <c r="A44" s="10" t="s">
        <v>416</v>
      </c>
      <c r="B44" s="10" t="s">
        <v>404</v>
      </c>
      <c r="C44" s="10" t="s">
        <v>417</v>
      </c>
      <c r="D44" s="9" t="s">
        <v>406</v>
      </c>
      <c r="E44" s="41" t="s">
        <v>418</v>
      </c>
      <c r="F44" s="2"/>
    </row>
    <row r="45" customFormat="false" ht="25.35" hidden="false" customHeight="false" outlineLevel="0" collapsed="false">
      <c r="A45" s="10" t="s">
        <v>163</v>
      </c>
      <c r="B45" s="10" t="s">
        <v>419</v>
      </c>
      <c r="C45" s="10" t="s">
        <v>420</v>
      </c>
      <c r="D45" s="9" t="s">
        <v>421</v>
      </c>
      <c r="E45" s="41" t="s">
        <v>422</v>
      </c>
      <c r="F45" s="2"/>
    </row>
    <row r="46" customFormat="false" ht="15" hidden="false" customHeight="false" outlineLevel="0" collapsed="false">
      <c r="A46" s="10" t="s">
        <v>423</v>
      </c>
      <c r="B46" s="10" t="s">
        <v>419</v>
      </c>
      <c r="C46" s="10" t="s">
        <v>424</v>
      </c>
      <c r="D46" s="9" t="s">
        <v>421</v>
      </c>
      <c r="E46" s="41" t="s">
        <v>425</v>
      </c>
      <c r="F46" s="2"/>
    </row>
    <row r="47" customFormat="false" ht="15" hidden="false" customHeight="false" outlineLevel="0" collapsed="false">
      <c r="A47" s="10" t="s">
        <v>426</v>
      </c>
      <c r="B47" s="10" t="s">
        <v>419</v>
      </c>
      <c r="C47" s="10" t="s">
        <v>427</v>
      </c>
      <c r="D47" s="9" t="s">
        <v>421</v>
      </c>
      <c r="E47" s="41" t="s">
        <v>428</v>
      </c>
      <c r="F47" s="2"/>
    </row>
    <row r="48" customFormat="false" ht="15" hidden="false" customHeight="false" outlineLevel="0" collapsed="false">
      <c r="A48" s="10" t="s">
        <v>429</v>
      </c>
      <c r="B48" s="10" t="s">
        <v>419</v>
      </c>
      <c r="C48" s="10" t="s">
        <v>430</v>
      </c>
      <c r="D48" s="9" t="s">
        <v>421</v>
      </c>
      <c r="E48" s="41" t="s">
        <v>431</v>
      </c>
      <c r="F48" s="2"/>
    </row>
    <row r="49" customFormat="false" ht="15" hidden="false" customHeight="false" outlineLevel="0" collapsed="false">
      <c r="A49" s="10" t="s">
        <v>432</v>
      </c>
      <c r="B49" s="10" t="s">
        <v>433</v>
      </c>
      <c r="C49" s="10" t="s">
        <v>434</v>
      </c>
      <c r="D49" s="9" t="s">
        <v>435</v>
      </c>
      <c r="E49" s="41" t="s">
        <v>436</v>
      </c>
      <c r="F49" s="2"/>
    </row>
    <row r="50" customFormat="false" ht="23.85" hidden="false" customHeight="false" outlineLevel="0" collapsed="false">
      <c r="A50" s="10" t="s">
        <v>437</v>
      </c>
      <c r="B50" s="9" t="s">
        <v>438</v>
      </c>
      <c r="C50" s="10" t="s">
        <v>439</v>
      </c>
      <c r="D50" s="9" t="s">
        <v>435</v>
      </c>
      <c r="E50" s="41" t="s">
        <v>440</v>
      </c>
      <c r="F50" s="2"/>
    </row>
    <row r="51" customFormat="false" ht="15" hidden="false" customHeight="false" outlineLevel="0" collapsed="false">
      <c r="A51" s="10" t="s">
        <v>441</v>
      </c>
      <c r="B51" s="10" t="s">
        <v>442</v>
      </c>
      <c r="C51" s="10" t="s">
        <v>443</v>
      </c>
      <c r="D51" s="9" t="s">
        <v>421</v>
      </c>
      <c r="E51" s="41" t="s">
        <v>444</v>
      </c>
      <c r="F51" s="2"/>
    </row>
    <row r="52" customFormat="false" ht="15" hidden="false" customHeight="false" outlineLevel="0" collapsed="false">
      <c r="A52" s="10" t="s">
        <v>445</v>
      </c>
      <c r="B52" s="10" t="s">
        <v>433</v>
      </c>
      <c r="C52" s="10" t="s">
        <v>446</v>
      </c>
      <c r="D52" s="9" t="s">
        <v>435</v>
      </c>
      <c r="E52" s="41" t="s">
        <v>447</v>
      </c>
      <c r="F52" s="2"/>
    </row>
    <row r="53" customFormat="false" ht="15" hidden="false" customHeight="false" outlineLevel="0" collapsed="false">
      <c r="A53" s="10" t="s">
        <v>448</v>
      </c>
      <c r="B53" s="9" t="s">
        <v>449</v>
      </c>
      <c r="C53" s="10" t="s">
        <v>450</v>
      </c>
      <c r="D53" s="9" t="s">
        <v>435</v>
      </c>
      <c r="E53" s="41" t="s">
        <v>451</v>
      </c>
      <c r="F53" s="2"/>
    </row>
    <row r="54" customFormat="false" ht="15" hidden="false" customHeight="false" outlineLevel="0" collapsed="false">
      <c r="A54" s="10" t="s">
        <v>452</v>
      </c>
      <c r="B54" s="10" t="s">
        <v>433</v>
      </c>
      <c r="C54" s="10" t="s">
        <v>453</v>
      </c>
      <c r="D54" s="9" t="s">
        <v>435</v>
      </c>
      <c r="E54" s="41" t="s">
        <v>454</v>
      </c>
      <c r="F54" s="2"/>
    </row>
    <row r="55" customFormat="false" ht="15" hidden="false" customHeight="false" outlineLevel="0" collapsed="false">
      <c r="A55" s="10" t="s">
        <v>455</v>
      </c>
      <c r="B55" s="9" t="s">
        <v>449</v>
      </c>
      <c r="C55" s="10" t="s">
        <v>456</v>
      </c>
      <c r="D55" s="9" t="s">
        <v>435</v>
      </c>
      <c r="E55" s="41" t="s">
        <v>457</v>
      </c>
      <c r="F55" s="2"/>
    </row>
    <row r="56" customFormat="false" ht="15" hidden="false" customHeight="false" outlineLevel="0" collapsed="false">
      <c r="A56" s="10" t="s">
        <v>458</v>
      </c>
      <c r="B56" s="10" t="s">
        <v>433</v>
      </c>
      <c r="C56" s="10" t="s">
        <v>459</v>
      </c>
      <c r="D56" s="9" t="s">
        <v>435</v>
      </c>
      <c r="E56" s="41" t="s">
        <v>460</v>
      </c>
      <c r="F56" s="2"/>
    </row>
    <row r="57" customFormat="false" ht="23.85" hidden="false" customHeight="false" outlineLevel="0" collapsed="false">
      <c r="A57" s="10" t="s">
        <v>461</v>
      </c>
      <c r="B57" s="10" t="s">
        <v>433</v>
      </c>
      <c r="C57" s="10" t="s">
        <v>462</v>
      </c>
      <c r="D57" s="9" t="s">
        <v>435</v>
      </c>
      <c r="E57" s="41" t="s">
        <v>463</v>
      </c>
      <c r="F57" s="2"/>
    </row>
    <row r="58" customFormat="false" ht="15" hidden="false" customHeight="false" outlineLevel="0" collapsed="false">
      <c r="A58" s="10" t="s">
        <v>464</v>
      </c>
      <c r="B58" s="9" t="s">
        <v>465</v>
      </c>
      <c r="C58" s="10" t="s">
        <v>466</v>
      </c>
      <c r="D58" s="9" t="s">
        <v>343</v>
      </c>
      <c r="E58" s="41" t="s">
        <v>467</v>
      </c>
      <c r="F58" s="2"/>
    </row>
    <row r="59" customFormat="false" ht="15" hidden="false" customHeight="false" outlineLevel="0" collapsed="false">
      <c r="A59" s="10" t="s">
        <v>468</v>
      </c>
      <c r="B59" s="9" t="s">
        <v>372</v>
      </c>
      <c r="C59" s="10" t="s">
        <v>469</v>
      </c>
      <c r="D59" s="9" t="s">
        <v>343</v>
      </c>
      <c r="E59" s="41" t="s">
        <v>470</v>
      </c>
      <c r="F59" s="2"/>
    </row>
    <row r="60" customFormat="false" ht="26.85" hidden="false" customHeight="false" outlineLevel="0" collapsed="false">
      <c r="A60" s="10" t="s">
        <v>471</v>
      </c>
      <c r="B60" s="9" t="s">
        <v>341</v>
      </c>
      <c r="C60" s="10" t="s">
        <v>472</v>
      </c>
      <c r="D60" s="9" t="s">
        <v>343</v>
      </c>
      <c r="E60" s="41" t="s">
        <v>473</v>
      </c>
      <c r="F60" s="2"/>
    </row>
    <row r="61" customFormat="false" ht="25.35" hidden="false" customHeight="false" outlineLevel="0" collapsed="false">
      <c r="A61" s="10" t="s">
        <v>474</v>
      </c>
      <c r="B61" s="10" t="s">
        <v>404</v>
      </c>
      <c r="C61" s="10" t="s">
        <v>475</v>
      </c>
      <c r="D61" s="9" t="s">
        <v>406</v>
      </c>
      <c r="E61" s="41" t="s">
        <v>476</v>
      </c>
      <c r="F61" s="2"/>
    </row>
    <row r="62" customFormat="false" ht="15" hidden="false" customHeight="false" outlineLevel="0" collapsed="false">
      <c r="A62" s="10" t="s">
        <v>477</v>
      </c>
      <c r="B62" s="10" t="s">
        <v>478</v>
      </c>
      <c r="C62" s="10" t="s">
        <v>479</v>
      </c>
      <c r="D62" s="9" t="s">
        <v>480</v>
      </c>
      <c r="E62" s="41" t="s">
        <v>481</v>
      </c>
      <c r="F62" s="2"/>
    </row>
    <row r="63" customFormat="false" ht="15" hidden="false" customHeight="false" outlineLevel="0" collapsed="false">
      <c r="A63" s="10" t="s">
        <v>482</v>
      </c>
      <c r="B63" s="10" t="s">
        <v>483</v>
      </c>
      <c r="C63" s="10" t="s">
        <v>484</v>
      </c>
      <c r="D63" s="9" t="s">
        <v>480</v>
      </c>
      <c r="E63" s="41" t="s">
        <v>485</v>
      </c>
      <c r="F63" s="2"/>
    </row>
    <row r="64" customFormat="false" ht="15" hidden="false" customHeight="false" outlineLevel="0" collapsed="false">
      <c r="A64" s="10" t="s">
        <v>486</v>
      </c>
      <c r="B64" s="10" t="s">
        <v>483</v>
      </c>
      <c r="C64" s="10" t="s">
        <v>487</v>
      </c>
      <c r="D64" s="9" t="s">
        <v>480</v>
      </c>
      <c r="E64" s="41" t="s">
        <v>488</v>
      </c>
      <c r="F64" s="2"/>
    </row>
    <row r="65" customFormat="false" ht="23.85" hidden="false" customHeight="false" outlineLevel="0" collapsed="false">
      <c r="A65" s="10" t="s">
        <v>489</v>
      </c>
      <c r="B65" s="10" t="s">
        <v>490</v>
      </c>
      <c r="C65" s="10" t="s">
        <v>491</v>
      </c>
      <c r="D65" s="9" t="s">
        <v>435</v>
      </c>
      <c r="E65" s="41" t="s">
        <v>492</v>
      </c>
      <c r="F65" s="2"/>
    </row>
    <row r="66" customFormat="false" ht="26.85" hidden="false" customHeight="false" outlineLevel="0" collapsed="false">
      <c r="A66" s="10" t="s">
        <v>493</v>
      </c>
      <c r="B66" s="10" t="s">
        <v>433</v>
      </c>
      <c r="C66" s="10" t="s">
        <v>494</v>
      </c>
      <c r="D66" s="9" t="s">
        <v>435</v>
      </c>
      <c r="E66" s="41" t="s">
        <v>495</v>
      </c>
      <c r="F66" s="2"/>
    </row>
    <row r="67" customFormat="false" ht="15" hidden="false" customHeight="false" outlineLevel="0" collapsed="false">
      <c r="A67" s="10" t="s">
        <v>496</v>
      </c>
      <c r="B67" s="10" t="s">
        <v>419</v>
      </c>
      <c r="C67" s="10" t="s">
        <v>497</v>
      </c>
      <c r="D67" s="9" t="s">
        <v>421</v>
      </c>
      <c r="E67" s="41" t="s">
        <v>498</v>
      </c>
      <c r="F67" s="2"/>
    </row>
    <row r="68" customFormat="false" ht="26.85" hidden="false" customHeight="false" outlineLevel="0" collapsed="false">
      <c r="A68" s="10" t="s">
        <v>499</v>
      </c>
      <c r="B68" s="10" t="s">
        <v>442</v>
      </c>
      <c r="C68" s="10" t="s">
        <v>500</v>
      </c>
      <c r="D68" s="9" t="s">
        <v>421</v>
      </c>
      <c r="E68" s="41" t="s">
        <v>501</v>
      </c>
      <c r="F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</row>
    <row r="70" customFormat="false" ht="15" hidden="false" customHeight="false" outlineLevel="0" collapsed="false">
      <c r="A70" s="2"/>
      <c r="B70" s="28" t="s">
        <v>502</v>
      </c>
      <c r="C70" s="28" t="n">
        <f aca="false">COUNTIF(D20:D68,"白俄*")</f>
        <v>29</v>
      </c>
      <c r="D70" s="2"/>
      <c r="E70" s="2"/>
      <c r="F70" s="2"/>
    </row>
    <row r="71" customFormat="false" ht="15" hidden="false" customHeight="false" outlineLevel="0" collapsed="false">
      <c r="A71" s="2"/>
      <c r="B71" s="28" t="s">
        <v>503</v>
      </c>
      <c r="C71" s="42" t="n">
        <f aca="false">C70/COUNTA(A20:A68)</f>
        <v>0.591836734693878</v>
      </c>
      <c r="D71" s="2"/>
      <c r="E71" s="2"/>
      <c r="F71" s="2"/>
    </row>
  </sheetData>
  <mergeCells count="4">
    <mergeCell ref="A2:F2"/>
    <mergeCell ref="A14:F14"/>
    <mergeCell ref="A15:F15"/>
    <mergeCell ref="A16:F16"/>
  </mergeCells>
  <hyperlinks>
    <hyperlink ref="E20" r:id="rId1" display="https://www.customs.gov.by/news/ob-izmeneniyakh-v-tn-ved-eaes-kasayushchikhsya-elektromobiley-i-posledovatelnykh-gibridov/"/>
    <hyperlink ref="E21" r:id="rId2" display="https://www.customs.gov.by/news/ob-izmenenii-ukaza-prezidenta-respubliki-belarus-po-voprosam-stimulirovaniya-ispolzovaniya-elektromo/"/>
    <hyperlink ref="E22" r:id="rId3" display="https://www.customs.gov.by/news/ob-ustanovlenii-lgot-v-otnoshenii-elektromobiley-na-2026-god/"/>
    <hyperlink ref="E23" r:id="rId4" display="https://www.customs.gov.by/news/ob-izmenenii-zakonodatelstva-reguliruyushchego-primenenie-lgot-v-otnoshenii-elektromobiley-v-2026-g-/"/>
    <hyperlink ref="E24" r:id="rId5" display="https://www.customs.gov.by/news/razyasnenie-gosudarstvennogo-tamozhennogo-komiteta-kak-sekonomit-na-tamozhennykh-poshlinakh-nalogakh/"/>
    <hyperlink ref="E25" r:id="rId6" display="https://www.customs.gov.by/participants-ved/biznesmenam/utilizatsionnyy-sbor/"/>
    <hyperlink ref="E26" r:id="rId7" display="https://www.customs.gov.by/fizicheskim-litsam/uplata-utilizatsionnogo-sbora-fizicheskimi-litsami-dokumenty-podtverzhdayushchie-kategoriyu-transpor/"/>
    <hyperlink ref="E27" r:id="rId8" display="https://www.customs.gov.by/news/ob-izmenenii-zakonodatelstva-reguliruyushchego-poryadok-uplaty-utilizatsionnogo-sbora/"/>
    <hyperlink ref="E28" r:id="rId9" display="https://www.customs.gov.by/calc/"/>
    <hyperlink ref="E29" r:id="rId10" display="https://www.customs.gov.by/fizicheskim-litsam/vvoz-tovarov-dlya-lichnogo-polzovaniya-s-uplatoy-tamozhennykh-platezhey/"/>
    <hyperlink ref="E30" r:id="rId11" display="https://nalog.gov.by/clarifications/comments/33567/"/>
    <hyperlink ref="E31" r:id="rId12" display="https://nalog.gov.by/news/33381/"/>
    <hyperlink ref="E32" r:id="rId13" display="https://pravo.by/novosti/obshchestvenno-politicheskie-i-v-oblasti-prava/2025/december/91542/"/>
    <hyperlink ref="E33" r:id="rId14" display="https://pravo.by/novosti/obshchestvenno-politicheskie-i-v-oblasti-prava/2025/october/90569/"/>
    <hyperlink ref="E34" r:id="rId15" display="https://pravo.by/novosti/obshchestvenno-politicheskie-i-v-oblasti-prava/2026/february/92131/"/>
    <hyperlink ref="E35" r:id="rId16" display="https://pravo.by/novosti/obshchestvenno-politicheskie-i-v-oblasti-prava/2025/december/91374/"/>
    <hyperlink ref="E36" r:id="rId17" display="https://pravo.by/novosti/obshchestvenno-politicheskie-i-v-oblasti-prava/2025/december/91364/"/>
    <hyperlink ref="E37" r:id="rId18" display="https://pravo.by/novosti/obshchestvenno-politicheskie-i-v-oblasti-prava/2026/april/93202/"/>
    <hyperlink ref="E38" r:id="rId19" display="https://pravo.by/novosti/analitika/2026/april/93257/"/>
    <hyperlink ref="E39" r:id="rId20" display="https://pravo.by/novosti/obshchestvenno-politicheskie-i-v-oblasti-prava/2024/november/79682/"/>
    <hyperlink ref="E40" r:id="rId21" display="https://belta.by/society/view/s-2026-goda-vse-po-novomu-tamozhnja-i-nds-na-skolko-podorozhajut-gibridy-reev-pri-vvoze-fizlitsami-755694-2025/"/>
    <hyperlink ref="E41" r:id="rId22" display="https://belta.by/society/view/ofitsialno-38-s-1-janvarja-2026-na-posledovatelnye-gibridy-reev-skolko-budet-stoit-voyah-free-754543-2025/"/>
    <hyperlink ref="E42" r:id="rId23" display="https://belta.by/economics/view/premjer-ministry-eaes-dogovorilis-osvobodit-ot-poshlin-vvoz-elektromobilej-v-belarus-armeniju-i-753748-2025/"/>
    <hyperlink ref="E43" r:id="rId24" display="https://belta.by/economics/view/v-belarusi-s-29-aprelja-menjajutsja-stavki-utilizatsionnogo-sbora-777593-2026/"/>
    <hyperlink ref="E44" r:id="rId25" display="https://belta.by/society/view/kvota-po-besposhlinnomu-vvozu-fizlitsami-elektromobilej-ischerpana-gtk-799565-2026/"/>
    <hyperlink ref="E45" r:id="rId26" display="https://www.alta.ru/laws_news/122071/"/>
    <hyperlink ref="E46" r:id="rId27" display="https://www.alta.ru/tnved/code/8703800005/"/>
    <hyperlink ref="E47" r:id="rId28" display="https://www.alta.ru/ts_news/124149/"/>
    <hyperlink ref="E48" r:id="rId29" display="https://www.alta.ru/tamdoc/26sr0035/"/>
    <hyperlink ref="E49" r:id="rId30" display="https://www.consultant.ru/document/cons_doc_LAW_293595/"/>
    <hyperlink ref="E50" r:id="rId31" display="https://customs.gov.ru/fiz/pravila-peremeshheniya-tovarov/transportnye-sredstva/vvoz-transportnyx-sredstv-dlya-lichnogo-pol-zovaniya/stavki-tamozhennyx-poshlin,-nalogov-v-otnoshenii-transportnyx-sredstv-dlya-lichnogo-pol-zovaniya"/>
    <hyperlink ref="E51" r:id="rId32" display="https://www.tks.ru/auto/2000000008/"/>
    <hyperlink ref="E52" r:id="rId33" display="https://www.consultant.ru/legalnews/30257/"/>
    <hyperlink ref="E53" r:id="rId34" display="https://www.nalog.gov.ru/rn25/news/activities_fts/16590316/"/>
    <hyperlink ref="E54" r:id="rId35" display="https://www.consultant.ru/law/podborki/stavki_akcizov_na_avtomobili/"/>
    <hyperlink ref="E55" r:id="rId36" display="https://www.nalog.gov.ru/rn27/news/tax_doc_news/16590707/"/>
    <hyperlink ref="E56" r:id="rId37" display="https://www.consultant.ru/legalnews/29989/"/>
    <hyperlink ref="E57" r:id="rId38" display="https://www.consultant.ru/law/hotdocs/91326.html"/>
    <hyperlink ref="E58" r:id="rId39" display="https://www.minfin.gov.by/ru/tax_policy/tax_system/doc/92aa7b734d3b48a6.html"/>
    <hyperlink ref="E59" r:id="rId40" display="https://nalog.gov.by/clarifications/comments/33596/"/>
    <hyperlink ref="E60" r:id="rId41" display="https://www.customs.gov.by/news/izmenenie-stavok-utilizatsionnogo-sbora-s-10-fevralya-2025-goda/"/>
    <hyperlink ref="E61" r:id="rId42" display="https://belta.by/economics/view/minprom-izmenenija-po-uplate-utilsbora-na-avto-dlja-importerov-fizlits-minimalny-695013-2025/"/>
    <hyperlink ref="E62" r:id="rId43" display="https://www.rnk.ru/article/146592-stavki-aktsizov"/>
    <hyperlink ref="E63" r:id="rId44" display="https://www.gazeta-unp.ru/articles/53417-stavki-na-aktsizy"/>
    <hyperlink ref="E64" r:id="rId45" display="https://www.gazeta-unp.ru/articles/53281-utilizatsionnyy-sbor"/>
    <hyperlink ref="E65" r:id="rId46" display="https://www.garant.ru/article/1901763/"/>
    <hyperlink ref="E66" r:id="rId47" display="https://www.consultant.ru/document/cons_doc_LAW_156832/"/>
    <hyperlink ref="E67" r:id="rId48" display="https://www.alta.ru/ts_news/126709/"/>
    <hyperlink ref="E68" r:id="rId49" display="https://www.tks.ru/autonews/2025/09/18/0004/kakie-modeli-avto-mogut-propast-v-rossii-iz-za-novyih-pravil-utilsbora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2026-09-30T03:55:54Z</dcterms:created>
  <dc:creator>openpyxl</dc:creator>
  <dc:description/>
  <dc:language>en-US</dc:language>
  <cp:lastModifiedBy/>
  <dcterms:modified xsi:type="dcterms:W3CDTF">2026-09-30T03:55:54Z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
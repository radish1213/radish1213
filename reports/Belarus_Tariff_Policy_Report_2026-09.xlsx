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6.xml.rels" ContentType="application/vnd.openxmlformats-package.relationships+xml"/>
  <Override PartName="/xl/worksheets/_rels/sheet1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封面与结论" sheetId="1" state="visible" r:id="rId3"/>
    <sheet name="研究方法与论证" sheetId="2" state="visible" r:id="rId4"/>
    <sheet name="关税体系框架" sheetId="3" state="visible" r:id="rId5"/>
    <sheet name="进口税费构成" sheetId="4" state="visible" r:id="rId6"/>
    <sheet name="商品税率样例" sheetId="5" state="visible" r:id="rId7"/>
    <sheet name="关税优惠与减免" sheetId="6" state="visible" r:id="rId8"/>
    <sheet name="自贸协定" sheetId="7" state="visible" r:id="rId9"/>
    <sheet name="出口关税与管制" sheetId="8" state="visible" r:id="rId10"/>
    <sheet name="非关税措施与反制" sheetId="9" state="visible" r:id="rId11"/>
    <sheet name="贸易救济措施" sheetId="10" state="visible" r:id="rId12"/>
    <sheet name="个人物品与跨境电商" sheetId="11" state="visible" r:id="rId13"/>
    <sheet name="汽车进口专题" sheetId="12" state="visible" r:id="rId14"/>
    <sheet name="外部市场对白关税" sheetId="13" state="visible" r:id="rId15"/>
    <sheet name="政策时间线" sheetId="14" state="visible" r:id="rId16"/>
    <sheet name="税费测算器" sheetId="15" state="visible" r:id="rId17"/>
    <sheet name="数据来源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<sst xmlns="http://schemas.openxmlformats.org/spreadsheetml/2006/main" count="2388" uniqueCount="1517">
  <si>
    <t xml:space="preserve">白俄罗斯关税政策调研报告</t>
  </si>
  <si>
    <r>
      <rPr>
        <i val="true"/>
        <sz val="9"/>
        <color rgb="FF595959"/>
        <rFont val="WenQuanYi Zen Hei"/>
        <family val="2"/>
      </rPr>
      <t xml:space="preserve">数据截至 </t>
    </r>
    <r>
      <rPr>
        <i val="true"/>
        <sz val="9"/>
        <color rgb="FF595959"/>
        <rFont val="Arial"/>
        <family val="0"/>
        <charset val="1"/>
      </rPr>
      <t xml:space="preserve">2026-09-30</t>
    </r>
    <r>
      <rPr>
        <i val="true"/>
        <sz val="9"/>
        <color rgb="FF595959"/>
        <rFont val="WenQuanYi Zen Hei"/>
        <family val="2"/>
      </rPr>
      <t xml:space="preserve">｜编制：</t>
    </r>
    <r>
      <rPr>
        <i val="true"/>
        <sz val="9"/>
        <color rgb="FF595959"/>
        <rFont val="Arial"/>
        <family val="0"/>
        <charset val="1"/>
      </rPr>
      <t xml:space="preserve">Claude Code</t>
    </r>
    <r>
      <rPr>
        <i val="true"/>
        <sz val="9"/>
        <color rgb="FF595959"/>
        <rFont val="WenQuanYi Zen Hei"/>
        <family val="2"/>
      </rPr>
      <t xml:space="preserve">（</t>
    </r>
    <r>
      <rPr>
        <i val="true"/>
        <sz val="9"/>
        <color rgb="FF595959"/>
        <rFont val="Arial"/>
        <family val="0"/>
        <charset val="1"/>
      </rPr>
      <t xml:space="preserve">AI </t>
    </r>
    <r>
      <rPr>
        <i val="true"/>
        <sz val="9"/>
        <color rgb="FF595959"/>
        <rFont val="WenQuanYi Zen Hei"/>
        <family val="2"/>
      </rPr>
      <t xml:space="preserve">辅助调研）｜原始资料以俄文为主，本表为中文整理｜每条数据均标注来源编号（见“数据来源”表）与可信度</t>
    </r>
  </si>
  <si>
    <t xml:space="preserve">一、报告说明</t>
  </si>
  <si>
    <t xml:space="preserve">调研对象：白俄罗斯共和国现行进出口关税及相关税费、关税优惠、自贸协定、贸易救济、禁限措施，以及主要市场对白俄商品的关税待遇。</t>
  </si>
  <si>
    <r>
      <rPr>
        <sz val="10"/>
        <rFont val="WenQuanYi Zen Hei"/>
        <family val="2"/>
      </rPr>
      <t xml:space="preserve">资料来源原则：优先采用白俄罗斯官方网站（外交部、国家海关委员会、税务部、财政部、经济部、国家法律信息门户 </t>
    </r>
    <r>
      <rPr>
        <sz val="10"/>
        <rFont val="Arial"/>
        <family val="0"/>
        <charset val="1"/>
      </rPr>
      <t xml:space="preserve">pravo.by</t>
    </r>
    <r>
      <rPr>
        <sz val="10"/>
        <rFont val="WenQuanYi Zen Hei"/>
        <family val="2"/>
      </rPr>
      <t xml:space="preserve">、国家通讯社 </t>
    </r>
    <r>
      <rPr>
        <sz val="10"/>
        <rFont val="Arial"/>
        <family val="0"/>
        <charset val="1"/>
      </rPr>
      <t xml:space="preserve">BelTA </t>
    </r>
    <r>
      <rPr>
        <sz val="10"/>
        <rFont val="WenQuanYi Zen Hei"/>
        <family val="2"/>
      </rPr>
      <t xml:space="preserve">等）；白俄网站没有的数据（如关税平均水平、欧美对白措施、单个 </t>
    </r>
    <r>
      <rPr>
        <sz val="10"/>
        <rFont val="Arial"/>
        <family val="0"/>
        <charset val="1"/>
      </rPr>
      <t xml:space="preserve">HS </t>
    </r>
    <r>
      <rPr>
        <sz val="10"/>
        <rFont val="WenQuanYi Zen Hei"/>
        <family val="2"/>
      </rPr>
      <t xml:space="preserve">编码税率）才使用国际组织或第三方数据库，并单独标注。</t>
    </r>
  </si>
  <si>
    <r>
      <rPr>
        <sz val="10"/>
        <rFont val="WenQuanYi Zen Hei"/>
        <family val="2"/>
      </rPr>
      <t xml:space="preserve">重要限制：本次运行环境的网络策略拦截了对上述网站的直接访问（返回 </t>
    </r>
    <r>
      <rPr>
        <sz val="10"/>
        <rFont val="Arial"/>
        <family val="0"/>
        <charset val="1"/>
      </rPr>
      <t xml:space="preserve">403</t>
    </r>
    <r>
      <rPr>
        <sz val="10"/>
        <rFont val="WenQuanYi Zen Hei"/>
        <family val="2"/>
      </rPr>
      <t xml:space="preserve">），所有数据均通过搜索引擎限定白俄官方域名检索、读取其索引摘要获得，未逐页打开原文。详见“研究方法与论证”表第四、五部分。</t>
    </r>
  </si>
  <si>
    <r>
      <rPr>
        <sz val="10"/>
        <rFont val="WenQuanYi Zen Hei"/>
        <family val="2"/>
      </rPr>
      <t xml:space="preserve">本报告供研究参考，不构成法律或报关意见；实际报关请以 </t>
    </r>
    <r>
      <rPr>
        <sz val="10"/>
        <rFont val="Arial"/>
        <family val="0"/>
        <charset val="1"/>
      </rPr>
      <t xml:space="preserve">ГТК </t>
    </r>
    <r>
      <rPr>
        <sz val="10"/>
        <rFont val="WenQuanYi Zen Hei"/>
        <family val="2"/>
      </rPr>
      <t xml:space="preserve">税则查询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计算器（</t>
    </r>
    <r>
      <rPr>
        <sz val="10"/>
        <rFont val="Arial"/>
        <family val="0"/>
        <charset val="1"/>
      </rPr>
      <t xml:space="preserve">customs.gov.by/calc</t>
    </r>
    <r>
      <rPr>
        <sz val="10"/>
        <rFont val="WenQuanYi Zen Hei"/>
        <family val="2"/>
      </rPr>
      <t xml:space="preserve">）及 </t>
    </r>
    <r>
      <rPr>
        <sz val="10"/>
        <rFont val="Arial"/>
        <family val="0"/>
        <charset val="1"/>
      </rPr>
      <t xml:space="preserve">pravo.by </t>
    </r>
    <r>
      <rPr>
        <sz val="10"/>
        <rFont val="WenQuanYi Zen Hei"/>
        <family val="2"/>
      </rPr>
      <t xml:space="preserve">法规原文为准。</t>
    </r>
  </si>
  <si>
    <t xml:space="preserve">二、核心结论</t>
  </si>
  <si>
    <t xml:space="preserve">#</t>
  </si>
  <si>
    <t xml:space="preserve">结论</t>
  </si>
  <si>
    <t xml:space="preserve">要点</t>
  </si>
  <si>
    <r>
      <rPr>
        <b val="true"/>
        <sz val="10"/>
        <color rgb="FFFFFFFF"/>
        <rFont val="WenQuanYi Zen Hei"/>
        <family val="2"/>
      </rPr>
      <t xml:space="preserve">来源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可信度</t>
    </r>
  </si>
  <si>
    <t xml:space="preserve">关税主权在联盟层面</t>
  </si>
  <si>
    <r>
      <rPr>
        <sz val="10"/>
        <rFont val="WenQuanYi Zen Hei"/>
        <family val="2"/>
      </rPr>
      <t xml:space="preserve">白俄罗斯没有独立的进口关税税则。作为欧亚经济联盟（</t>
    </r>
    <r>
      <rPr>
        <sz val="10"/>
        <rFont val="Arial"/>
        <family val="0"/>
        <charset val="1"/>
      </rPr>
      <t xml:space="preserve">EAEU</t>
    </r>
    <r>
      <rPr>
        <sz val="10"/>
        <rFont val="WenQuanYi Zen Hei"/>
        <family val="2"/>
      </rPr>
      <t xml:space="preserve">）成员，对第三国进口统一适用《</t>
    </r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统一关税税则》（</t>
    </r>
    <r>
      <rPr>
        <sz val="10"/>
        <rFont val="Arial"/>
        <family val="0"/>
        <charset val="1"/>
      </rPr>
      <t xml:space="preserve">ЕТТ ЕАЭС</t>
    </r>
    <r>
      <rPr>
        <sz val="10"/>
        <rFont val="WenQuanYi Zen Hei"/>
        <family val="2"/>
      </rPr>
      <t xml:space="preserve">），税率由欧亚经济委员会（</t>
    </r>
    <r>
      <rPr>
        <sz val="10"/>
        <rFont val="Arial"/>
        <family val="0"/>
        <charset val="1"/>
      </rPr>
      <t xml:space="preserve">EEC</t>
    </r>
    <r>
      <rPr>
        <sz val="10"/>
        <rFont val="WenQuanYi Zen Hei"/>
        <family val="2"/>
      </rPr>
      <t xml:space="preserve">）决定；白俄政府掌握的是增值税、消费税、海关手续费、报废税、出口关税以及各类进出口禁限措施。</t>
    </r>
  </si>
  <si>
    <r>
      <rPr>
        <sz val="10"/>
        <rFont val="Arial"/>
        <family val="0"/>
        <charset val="1"/>
      </rPr>
      <t xml:space="preserve">S001, S010, S028</t>
    </r>
    <r>
      <rPr>
        <sz val="10"/>
        <rFont val="WenQuanYi Zen Hei"/>
        <family val="2"/>
      </rPr>
      <t xml:space="preserve">｜高</t>
    </r>
  </si>
  <si>
    <t xml:space="preserve">整体税率水平温和</t>
  </si>
  <si>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税则 </t>
    </r>
    <r>
      <rPr>
        <sz val="10"/>
        <rFont val="Arial"/>
        <family val="0"/>
        <charset val="1"/>
      </rPr>
      <t xml:space="preserve">2024 </t>
    </r>
    <r>
      <rPr>
        <sz val="10"/>
        <rFont val="WenQuanYi Zen Hei"/>
        <family val="2"/>
      </rPr>
      <t xml:space="preserve">年简单平均最惠国税率约 </t>
    </r>
    <r>
      <rPr>
        <sz val="10"/>
        <rFont val="Arial"/>
        <family val="0"/>
        <charset val="1"/>
      </rPr>
      <t xml:space="preserve">6.6%</t>
    </r>
    <r>
      <rPr>
        <sz val="10"/>
        <rFont val="WenQuanYi Zen Hei"/>
        <family val="2"/>
      </rPr>
      <t xml:space="preserve">（农产品 </t>
    </r>
    <r>
      <rPr>
        <sz val="10"/>
        <rFont val="Arial"/>
        <family val="0"/>
        <charset val="1"/>
      </rPr>
      <t xml:space="preserve">7.1%</t>
    </r>
    <r>
      <rPr>
        <sz val="10"/>
        <rFont val="WenQuanYi Zen Hei"/>
        <family val="2"/>
      </rPr>
      <t xml:space="preserve">、非农产品 </t>
    </r>
    <r>
      <rPr>
        <sz val="10"/>
        <rFont val="Arial"/>
        <family val="0"/>
        <charset val="1"/>
      </rPr>
      <t xml:space="preserve">6.1%</t>
    </r>
    <r>
      <rPr>
        <sz val="10"/>
        <rFont val="WenQuanYi Zen Hei"/>
        <family val="2"/>
      </rPr>
      <t xml:space="preserve">）。白俄不是 </t>
    </r>
    <r>
      <rPr>
        <sz val="10"/>
        <rFont val="Arial"/>
        <family val="0"/>
        <charset val="1"/>
      </rPr>
      <t xml:space="preserve">WTO </t>
    </r>
    <r>
      <rPr>
        <sz val="10"/>
        <rFont val="WenQuanYi Zen Hei"/>
        <family val="2"/>
      </rPr>
      <t xml:space="preserve">成员，</t>
    </r>
    <r>
      <rPr>
        <sz val="10"/>
        <rFont val="Arial"/>
        <family val="0"/>
        <charset val="1"/>
      </rPr>
      <t xml:space="preserve">WTO </t>
    </r>
    <r>
      <rPr>
        <sz val="10"/>
        <rFont val="WenQuanYi Zen Hei"/>
        <family val="2"/>
      </rPr>
      <t xml:space="preserve">没有白俄的关税概况，此处用俄罗斯（适用同一税则）数据作代理。手机、电脑多为 </t>
    </r>
    <r>
      <rPr>
        <sz val="10"/>
        <rFont val="Arial"/>
        <family val="0"/>
        <charset val="1"/>
      </rPr>
      <t xml:space="preserve">0%</t>
    </r>
    <r>
      <rPr>
        <sz val="10"/>
        <rFont val="WenQuanYi Zen Hei"/>
        <family val="2"/>
      </rPr>
      <t xml:space="preserve">，电视、玩具、轮胎约 </t>
    </r>
    <r>
      <rPr>
        <sz val="10"/>
        <rFont val="Arial"/>
        <family val="0"/>
        <charset val="1"/>
      </rPr>
      <t xml:space="preserve">10%</t>
    </r>
    <r>
      <rPr>
        <sz val="10"/>
        <rFont val="WenQuanYi Zen Hei"/>
        <family val="2"/>
      </rPr>
      <t xml:space="preserve">，冰箱约 </t>
    </r>
    <r>
      <rPr>
        <sz val="10"/>
        <rFont val="Arial"/>
        <family val="0"/>
        <charset val="1"/>
      </rPr>
      <t xml:space="preserve">12%</t>
    </r>
    <r>
      <rPr>
        <sz val="10"/>
        <rFont val="WenQuanYi Zen Hei"/>
        <family val="2"/>
      </rPr>
      <t xml:space="preserve">，乘用车 </t>
    </r>
    <r>
      <rPr>
        <sz val="10"/>
        <rFont val="Arial"/>
        <family val="0"/>
        <charset val="1"/>
      </rPr>
      <t xml:space="preserve">15%</t>
    </r>
    <r>
      <rPr>
        <sz val="10"/>
        <rFont val="WenQuanYi Zen Hei"/>
        <family val="2"/>
      </rPr>
      <t xml:space="preserve">，纺织服装鞋类多为从量或复合税。</t>
    </r>
  </si>
  <si>
    <r>
      <rPr>
        <sz val="10"/>
        <rFont val="Arial"/>
        <family val="0"/>
        <charset val="1"/>
      </rPr>
      <t xml:space="preserve">S107, S106, S119</t>
    </r>
    <r>
      <rPr>
        <sz val="10"/>
        <rFont val="WenQuanYi Zen Hei"/>
        <family val="2"/>
      </rPr>
      <t xml:space="preserve">｜中</t>
    </r>
  </si>
  <si>
    <t xml:space="preserve">主要负担在增值税</t>
  </si>
  <si>
    <r>
      <rPr>
        <sz val="10"/>
        <rFont val="WenQuanYi Zen Hei"/>
        <family val="2"/>
      </rPr>
      <t xml:space="preserve">进口增值税标准税率 </t>
    </r>
    <r>
      <rPr>
        <sz val="10"/>
        <rFont val="Arial"/>
        <family val="0"/>
        <charset val="1"/>
      </rPr>
      <t xml:space="preserve">20%</t>
    </r>
    <r>
      <rPr>
        <sz val="10"/>
        <rFont val="WenQuanYi Zen Hei"/>
        <family val="2"/>
      </rPr>
      <t xml:space="preserve">，列入清单的食品、儿童用品等为 </t>
    </r>
    <r>
      <rPr>
        <sz val="10"/>
        <rFont val="Arial"/>
        <family val="0"/>
        <charset val="1"/>
      </rPr>
      <t xml:space="preserve">10%</t>
    </r>
    <r>
      <rPr>
        <sz val="10"/>
        <rFont val="WenQuanYi Zen Hei"/>
        <family val="2"/>
      </rPr>
      <t xml:space="preserve">；税基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完税价格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关税（含反倾销税）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消费税。以 </t>
    </r>
    <r>
      <rPr>
        <sz val="10"/>
        <rFont val="Arial"/>
        <family val="0"/>
        <charset val="1"/>
      </rPr>
      <t xml:space="preserve">10% </t>
    </r>
    <r>
      <rPr>
        <sz val="10"/>
        <rFont val="WenQuanYi Zen Hei"/>
        <family val="2"/>
      </rPr>
      <t xml:space="preserve">关税商品为例，关税和增值税合计约为完税价格的 </t>
    </r>
    <r>
      <rPr>
        <sz val="10"/>
        <rFont val="Arial"/>
        <family val="0"/>
        <charset val="1"/>
      </rPr>
      <t xml:space="preserve">32%</t>
    </r>
    <r>
      <rPr>
        <sz val="10"/>
        <rFont val="WenQuanYi Zen Hei"/>
        <family val="2"/>
      </rPr>
      <t xml:space="preserve">（见“税费测算器”）。</t>
    </r>
  </si>
  <si>
    <r>
      <rPr>
        <sz val="10"/>
        <rFont val="Arial"/>
        <family val="0"/>
        <charset val="1"/>
      </rPr>
      <t xml:space="preserve">S026, S022, S023</t>
    </r>
    <r>
      <rPr>
        <sz val="10"/>
        <rFont val="WenQuanYi Zen Hei"/>
        <family val="2"/>
      </rPr>
      <t xml:space="preserve">｜高</t>
    </r>
  </si>
  <si>
    <t xml:space="preserve">中国商品适用一般税率</t>
  </si>
  <si>
    <r>
      <rPr>
        <sz val="10"/>
        <rFont val="WenQuanYi Zen Hei"/>
        <family val="2"/>
      </rPr>
      <t xml:space="preserve">中国自 </t>
    </r>
    <r>
      <rPr>
        <sz val="10"/>
        <rFont val="Arial"/>
        <family val="0"/>
        <charset val="1"/>
      </rPr>
      <t xml:space="preserve">2021 </t>
    </r>
    <r>
      <rPr>
        <sz val="10"/>
        <rFont val="WenQuanYi Zen Hei"/>
        <family val="2"/>
      </rPr>
      <t xml:space="preserve">年起被移出 </t>
    </r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普惠制受惠国名单；</t>
    </r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与中国的经贸合作协定（</t>
    </r>
    <r>
      <rPr>
        <sz val="10"/>
        <rFont val="Arial"/>
        <family val="0"/>
        <charset val="1"/>
      </rPr>
      <t xml:space="preserve">2019-10-25 </t>
    </r>
    <r>
      <rPr>
        <sz val="10"/>
        <rFont val="WenQuanYi Zen Hei"/>
        <family val="2"/>
      </rPr>
      <t xml:space="preserve">生效）不含关税减让。因此中国原产商品按 </t>
    </r>
    <r>
      <rPr>
        <sz val="10"/>
        <rFont val="Arial"/>
        <family val="0"/>
        <charset val="1"/>
      </rPr>
      <t xml:space="preserve">ЕТТ </t>
    </r>
    <r>
      <rPr>
        <sz val="10"/>
        <rFont val="WenQuanYi Zen Hei"/>
        <family val="2"/>
      </rPr>
      <t xml:space="preserve">一般税率征税，部分产品另有反倾销税。可利用的减免渠道是中白工业园“巨石”的设备进口免税，以及白俄对“本国无同类产品的技术设备”免征进口增值税。</t>
    </r>
  </si>
  <si>
    <r>
      <rPr>
        <sz val="10"/>
        <rFont val="Arial"/>
        <family val="0"/>
        <charset val="1"/>
      </rPr>
      <t xml:space="preserve">S070, S117, S072, S065, S066</t>
    </r>
    <r>
      <rPr>
        <sz val="10"/>
        <rFont val="WenQuanYi Zen Hei"/>
        <family val="2"/>
      </rPr>
      <t xml:space="preserve">｜高</t>
    </r>
  </si>
  <si>
    <t xml:space="preserve">自贸网络在扩张</t>
  </si>
  <si>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内部零关税；独联体自贸区及白俄双边自贸协定；</t>
    </r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与越南、塞尔维亚、伊朗（</t>
    </r>
    <r>
      <rPr>
        <sz val="10"/>
        <rFont val="Arial"/>
        <family val="0"/>
        <charset val="1"/>
      </rPr>
      <t xml:space="preserve">2025-05-15 </t>
    </r>
    <r>
      <rPr>
        <sz val="10"/>
        <rFont val="WenQuanYi Zen Hei"/>
        <family val="2"/>
      </rPr>
      <t xml:space="preserve">起全面自贸）的协定已生效；与蒙古的临时协定 </t>
    </r>
    <r>
      <rPr>
        <sz val="10"/>
        <rFont val="Arial"/>
        <family val="0"/>
        <charset val="1"/>
      </rPr>
      <t xml:space="preserve">2026-07-22 </t>
    </r>
    <r>
      <rPr>
        <sz val="10"/>
        <rFont val="WenQuanYi Zen Hei"/>
        <family val="2"/>
      </rPr>
      <t xml:space="preserve">生效；与阿联酋的经济伙伴协定将于 </t>
    </r>
    <r>
      <rPr>
        <sz val="10"/>
        <rFont val="Arial"/>
        <family val="0"/>
        <charset val="1"/>
      </rPr>
      <t xml:space="preserve">2026-10-06 </t>
    </r>
    <r>
      <rPr>
        <sz val="10"/>
        <rFont val="WenQuanYi Zen Hei"/>
        <family val="2"/>
      </rPr>
      <t xml:space="preserve">生效；与印尼的自贸协定已签署、白俄已批准，预计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年底前生效；与印度仍在谈判。</t>
    </r>
  </si>
  <si>
    <r>
      <rPr>
        <sz val="10"/>
        <rFont val="Arial"/>
        <family val="0"/>
        <charset val="1"/>
      </rPr>
      <t xml:space="preserve">S007, S060, S083, S082, S085, S061</t>
    </r>
    <r>
      <rPr>
        <sz val="10"/>
        <rFont val="WenQuanYi Zen Hei"/>
        <family val="2"/>
      </rPr>
      <t xml:space="preserve">｜高</t>
    </r>
  </si>
  <si>
    <t xml:space="preserve">对华贸易救济密集</t>
  </si>
  <si>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对中国不锈钢焊管（</t>
    </r>
    <r>
      <rPr>
        <sz val="10"/>
        <rFont val="Arial"/>
        <family val="0"/>
        <charset val="1"/>
      </rPr>
      <t xml:space="preserve">14.62%–17.28%</t>
    </r>
    <r>
      <rPr>
        <sz val="10"/>
        <rFont val="WenQuanYi Zen Hei"/>
        <family val="2"/>
      </rPr>
      <t xml:space="preserve">，延至 </t>
    </r>
    <r>
      <rPr>
        <sz val="10"/>
        <rFont val="Arial"/>
        <family val="0"/>
        <charset val="1"/>
      </rPr>
      <t xml:space="preserve">2031 </t>
    </r>
    <r>
      <rPr>
        <sz val="10"/>
        <rFont val="WenQuanYi Zen Hei"/>
        <family val="2"/>
      </rPr>
      <t xml:space="preserve">年）、石墨电极（</t>
    </r>
    <r>
      <rPr>
        <sz val="10"/>
        <rFont val="Arial"/>
        <family val="0"/>
        <charset val="1"/>
      </rPr>
      <t xml:space="preserve">19.92%–22.51%</t>
    </r>
    <r>
      <rPr>
        <sz val="10"/>
        <rFont val="WenQuanYi Zen Hei"/>
        <family val="2"/>
      </rPr>
      <t xml:space="preserve">）、钛白粉（</t>
    </r>
    <r>
      <rPr>
        <sz val="10"/>
        <rFont val="Arial"/>
        <family val="0"/>
        <charset val="1"/>
      </rPr>
      <t xml:space="preserve">14.27%–16.25%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年暂停执行）、铝箔、钢板弹簧等征收反倾销税。</t>
    </r>
  </si>
  <si>
    <r>
      <rPr>
        <sz val="10"/>
        <rFont val="Arial"/>
        <family val="0"/>
        <charset val="1"/>
      </rPr>
      <t xml:space="preserve">S093, S095, S068, S094, S069, S091</t>
    </r>
    <r>
      <rPr>
        <sz val="10"/>
        <rFont val="WenQuanYi Zen Hei"/>
        <family val="2"/>
      </rPr>
      <t xml:space="preserve">｜高</t>
    </r>
  </si>
  <si>
    <t xml:space="preserve">出口侧管控灵活多变</t>
  </si>
  <si>
    <r>
      <rPr>
        <sz val="10"/>
        <rFont val="WenQuanYi Zen Hei"/>
        <family val="2"/>
      </rPr>
      <t xml:space="preserve">原油及油品出口关税按与俄罗斯相同的税率设定并同步调整；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年液化石油气出口关税 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月升至 </t>
    </r>
    <r>
      <rPr>
        <sz val="10"/>
        <rFont val="Arial"/>
        <family val="0"/>
        <charset val="1"/>
      </rPr>
      <t xml:space="preserve">131.6 </t>
    </r>
    <r>
      <rPr>
        <sz val="10"/>
        <rFont val="WenQuanYi Zen Hei"/>
        <family val="2"/>
      </rPr>
      <t xml:space="preserve">美元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吨，</t>
    </r>
    <r>
      <rPr>
        <sz val="10"/>
        <rFont val="Arial"/>
        <family val="0"/>
        <charset val="1"/>
      </rPr>
      <t xml:space="preserve">8 </t>
    </r>
    <r>
      <rPr>
        <sz val="10"/>
        <rFont val="WenQuanYi Zen Hei"/>
        <family val="2"/>
      </rPr>
      <t xml:space="preserve">月降为零；自 </t>
    </r>
    <r>
      <rPr>
        <sz val="10"/>
        <rFont val="Arial"/>
        <family val="0"/>
        <charset val="1"/>
      </rPr>
      <t xml:space="preserve">2026-09-23 </t>
    </r>
    <r>
      <rPr>
        <sz val="10"/>
        <rFont val="WenQuanYi Zen Hei"/>
        <family val="2"/>
      </rPr>
      <t xml:space="preserve">起对部分工业品实施 </t>
    </r>
    <r>
      <rPr>
        <sz val="10"/>
        <rFont val="Arial"/>
        <family val="0"/>
        <charset val="1"/>
      </rPr>
      <t xml:space="preserve">6 </t>
    </r>
    <r>
      <rPr>
        <sz val="10"/>
        <rFont val="WenQuanYi Zen Hei"/>
        <family val="2"/>
      </rPr>
      <t xml:space="preserve">个月临时出口禁令。</t>
    </r>
  </si>
  <si>
    <r>
      <rPr>
        <sz val="10"/>
        <rFont val="Arial"/>
        <family val="0"/>
        <charset val="1"/>
      </rPr>
      <t xml:space="preserve">S006, S047, S078, S053</t>
    </r>
    <r>
      <rPr>
        <sz val="10"/>
        <rFont val="WenQuanYi Zen Hei"/>
        <family val="2"/>
      </rPr>
      <t xml:space="preserve">｜高</t>
    </r>
  </si>
  <si>
    <t xml:space="preserve">反制措施有明确期限</t>
  </si>
  <si>
    <r>
      <rPr>
        <sz val="10"/>
        <rFont val="WenQuanYi Zen Hei"/>
        <family val="2"/>
      </rPr>
      <t xml:space="preserve">对“不友好国家”部分商品的进口和销售禁令延长至 </t>
    </r>
    <r>
      <rPr>
        <sz val="10"/>
        <rFont val="Arial"/>
        <family val="0"/>
        <charset val="1"/>
      </rPr>
      <t xml:space="preserve">2027-12-31</t>
    </r>
    <r>
      <rPr>
        <sz val="10"/>
        <rFont val="WenQuanYi Zen Hei"/>
        <family val="2"/>
      </rPr>
      <t xml:space="preserve">；经白俄–立陶宛边境口岸进口水、啤酒、葡萄酒、轮胎、旧衣物等商品的禁令也延长至 </t>
    </r>
    <r>
      <rPr>
        <sz val="10"/>
        <rFont val="Arial"/>
        <family val="0"/>
        <charset val="1"/>
      </rPr>
      <t xml:space="preserve">2027-12-31</t>
    </r>
    <r>
      <rPr>
        <sz val="10"/>
        <rFont val="WenQuanYi Zen Hei"/>
        <family val="2"/>
      </rPr>
      <t xml:space="preserve">。</t>
    </r>
  </si>
  <si>
    <r>
      <rPr>
        <sz val="10"/>
        <rFont val="Arial"/>
        <family val="0"/>
        <charset val="1"/>
      </rPr>
      <t xml:space="preserve">S079, S050, S049</t>
    </r>
    <r>
      <rPr>
        <sz val="10"/>
        <rFont val="WenQuanYi Zen Hei"/>
        <family val="2"/>
      </rPr>
      <t xml:space="preserve">｜高</t>
    </r>
  </si>
  <si>
    <t xml:space="preserve">个人物品与跨境电商</t>
  </si>
  <si>
    <r>
      <rPr>
        <sz val="10"/>
        <rFont val="WenQuanYi Zen Hei"/>
        <family val="2"/>
      </rPr>
      <t xml:space="preserve">陆路随身行李免税额 </t>
    </r>
    <r>
      <rPr>
        <sz val="10"/>
        <rFont val="Arial"/>
        <family val="0"/>
        <charset val="1"/>
      </rPr>
      <t xml:space="preserve">500 </t>
    </r>
    <r>
      <rPr>
        <sz val="10"/>
        <rFont val="WenQuanYi Zen Hei"/>
        <family val="2"/>
      </rPr>
      <t xml:space="preserve">欧元</t>
    </r>
    <r>
      <rPr>
        <sz val="10"/>
        <rFont val="Arial"/>
        <family val="0"/>
        <charset val="1"/>
      </rPr>
      <t xml:space="preserve">/25 </t>
    </r>
    <r>
      <rPr>
        <sz val="10"/>
        <rFont val="WenQuanYi Zen Hei"/>
        <family val="2"/>
      </rPr>
      <t xml:space="preserve">公斤，航空 </t>
    </r>
    <r>
      <rPr>
        <sz val="10"/>
        <rFont val="Arial"/>
        <family val="0"/>
        <charset val="1"/>
      </rPr>
      <t xml:space="preserve">10,000 </t>
    </r>
    <r>
      <rPr>
        <sz val="10"/>
        <rFont val="WenQuanYi Zen Hei"/>
        <family val="2"/>
      </rPr>
      <t xml:space="preserve">欧元</t>
    </r>
    <r>
      <rPr>
        <sz val="10"/>
        <rFont val="Arial"/>
        <family val="0"/>
        <charset val="1"/>
      </rPr>
      <t xml:space="preserve">/50 </t>
    </r>
    <r>
      <rPr>
        <sz val="10"/>
        <rFont val="WenQuanYi Zen Hei"/>
        <family val="2"/>
      </rPr>
      <t xml:space="preserve">公斤，国际邮件和快递 </t>
    </r>
    <r>
      <rPr>
        <sz val="10"/>
        <rFont val="Arial"/>
        <family val="0"/>
        <charset val="1"/>
      </rPr>
      <t xml:space="preserve">200 </t>
    </r>
    <r>
      <rPr>
        <sz val="10"/>
        <rFont val="WenQuanYi Zen Hei"/>
        <family val="2"/>
      </rPr>
      <t xml:space="preserve">欧元</t>
    </r>
    <r>
      <rPr>
        <sz val="10"/>
        <rFont val="Arial"/>
        <family val="0"/>
        <charset val="1"/>
      </rPr>
      <t xml:space="preserve">/31 </t>
    </r>
    <r>
      <rPr>
        <sz val="10"/>
        <rFont val="WenQuanYi Zen Hei"/>
        <family val="2"/>
      </rPr>
      <t xml:space="preserve">公斤。</t>
    </r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跨境电商新规（免税额 </t>
    </r>
    <r>
      <rPr>
        <sz val="10"/>
        <rFont val="Arial"/>
        <family val="0"/>
        <charset val="1"/>
      </rPr>
      <t xml:space="preserve">200 </t>
    </r>
    <r>
      <rPr>
        <sz val="10"/>
        <rFont val="WenQuanYi Zen Hei"/>
        <family val="2"/>
      </rPr>
      <t xml:space="preserve">欧元）原计划 </t>
    </r>
    <r>
      <rPr>
        <sz val="10"/>
        <rFont val="Arial"/>
        <family val="0"/>
        <charset val="1"/>
      </rPr>
      <t xml:space="preserve">2026-07-01 </t>
    </r>
    <r>
      <rPr>
        <sz val="10"/>
        <rFont val="WenQuanYi Zen Hei"/>
        <family val="2"/>
      </rPr>
      <t xml:space="preserve">实施，目前预计 </t>
    </r>
    <r>
      <rPr>
        <sz val="10"/>
        <rFont val="Arial"/>
        <family val="0"/>
        <charset val="1"/>
      </rPr>
      <t xml:space="preserve">2027-01-01 </t>
    </r>
    <r>
      <rPr>
        <sz val="10"/>
        <rFont val="WenQuanYi Zen Hei"/>
        <family val="2"/>
      </rPr>
      <t xml:space="preserve">起执行。</t>
    </r>
  </si>
  <si>
    <r>
      <rPr>
        <sz val="10"/>
        <rFont val="Arial"/>
        <family val="0"/>
        <charset val="1"/>
      </rPr>
      <t xml:space="preserve">S036, S018, S073, S038</t>
    </r>
    <r>
      <rPr>
        <sz val="10"/>
        <rFont val="WenQuanYi Zen Hei"/>
        <family val="2"/>
      </rPr>
      <t xml:space="preserve">｜中</t>
    </r>
  </si>
  <si>
    <t xml:space="preserve">外部市场：欧盟收紧，美国松动</t>
  </si>
  <si>
    <r>
      <rPr>
        <sz val="10"/>
        <rFont val="WenQuanYi Zen Hei"/>
        <family val="2"/>
      </rPr>
      <t xml:space="preserve">欧盟自 </t>
    </r>
    <r>
      <rPr>
        <sz val="10"/>
        <rFont val="Arial"/>
        <family val="0"/>
        <charset val="1"/>
      </rPr>
      <t xml:space="preserve">2025-07-01 </t>
    </r>
    <r>
      <rPr>
        <sz val="10"/>
        <rFont val="WenQuanYi Zen Hei"/>
        <family val="2"/>
      </rPr>
      <t xml:space="preserve">对白俄农产品加征 </t>
    </r>
    <r>
      <rPr>
        <sz val="10"/>
        <rFont val="Arial"/>
        <family val="0"/>
        <charset val="1"/>
      </rPr>
      <t xml:space="preserve">50% </t>
    </r>
    <r>
      <rPr>
        <sz val="10"/>
        <rFont val="WenQuanYi Zen Hei"/>
        <family val="2"/>
      </rPr>
      <t xml:space="preserve">从价税，对氮肥征收逐年提高的从量税；美国自 </t>
    </r>
    <r>
      <rPr>
        <sz val="10"/>
        <rFont val="Arial"/>
        <family val="0"/>
        <charset val="1"/>
      </rPr>
      <t xml:space="preserve">2022-04-09 </t>
    </r>
    <r>
      <rPr>
        <sz val="10"/>
        <rFont val="WenQuanYi Zen Hei"/>
        <family val="2"/>
      </rPr>
      <t xml:space="preserve">起取消白俄的正常贸易关系待遇（适用第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栏税率），但在 </t>
    </r>
    <r>
      <rPr>
        <sz val="10"/>
        <rFont val="Arial"/>
        <family val="0"/>
        <charset val="1"/>
      </rPr>
      <t xml:space="preserve">2025–2026 </t>
    </r>
    <r>
      <rPr>
        <sz val="10"/>
        <rFont val="WenQuanYi Zen Hei"/>
        <family val="2"/>
      </rPr>
      <t xml:space="preserve">年先后解除了对 </t>
    </r>
    <r>
      <rPr>
        <sz val="10"/>
        <rFont val="Arial"/>
        <family val="0"/>
        <charset val="1"/>
      </rPr>
      <t xml:space="preserve">Belavia</t>
    </r>
    <r>
      <rPr>
        <sz val="10"/>
        <rFont val="WenQuanYi Zen Hei"/>
        <family val="2"/>
      </rPr>
      <t xml:space="preserve">、白俄钾肥企业及部分银行的制裁。</t>
    </r>
  </si>
  <si>
    <r>
      <rPr>
        <sz val="10"/>
        <rFont val="Arial"/>
        <family val="0"/>
        <charset val="1"/>
      </rPr>
      <t xml:space="preserve">S112, S111, S113, S099, S101</t>
    </r>
    <r>
      <rPr>
        <sz val="10"/>
        <rFont val="WenQuanYi Zen Hei"/>
        <family val="2"/>
      </rPr>
      <t xml:space="preserve">｜高</t>
    </r>
  </si>
  <si>
    <t xml:space="preserve">三、工作表目录</t>
  </si>
  <si>
    <t xml:space="preserve">研究方法与论证</t>
  </si>
  <si>
    <t xml:space="preserve">研究问题、论证链条、来源层级、核验方法、可信度标准与局限</t>
  </si>
  <si>
    <t xml:space="preserve">关税体系框架</t>
  </si>
  <si>
    <t xml:space="preserve">联盟与国家两级的法律依据与主管机构</t>
  </si>
  <si>
    <t xml:space="preserve">进口税费构成</t>
  </si>
  <si>
    <t xml:space="preserve">关税、增值税、消费税、手续费、报废税等逐项说明</t>
  </si>
  <si>
    <t xml:space="preserve">商品税率样例</t>
  </si>
  <si>
    <r>
      <rPr>
        <sz val="10"/>
        <rFont val="WenQuanYi Zen Hei"/>
        <family val="2"/>
      </rPr>
      <t xml:space="preserve">常见商品 </t>
    </r>
    <r>
      <rPr>
        <sz val="10"/>
        <rFont val="Arial"/>
        <family val="0"/>
        <charset val="1"/>
      </rPr>
      <t xml:space="preserve">HS </t>
    </r>
    <r>
      <rPr>
        <sz val="10"/>
        <rFont val="WenQuanYi Zen Hei"/>
        <family val="2"/>
      </rPr>
      <t xml:space="preserve">编码的 </t>
    </r>
    <r>
      <rPr>
        <sz val="10"/>
        <rFont val="Arial"/>
        <family val="0"/>
        <charset val="1"/>
      </rPr>
      <t xml:space="preserve">ЕТТ </t>
    </r>
    <r>
      <rPr>
        <sz val="10"/>
        <rFont val="WenQuanYi Zen Hei"/>
        <family val="2"/>
      </rPr>
      <t xml:space="preserve">税率，并用公式计算关税与增值税合计负担</t>
    </r>
  </si>
  <si>
    <t xml:space="preserve">关税优惠与减免</t>
  </si>
  <si>
    <t xml:space="preserve">普惠制、国别关税优惠、临时零税率、增值税减免、中白工业园</t>
  </si>
  <si>
    <t xml:space="preserve">自贸协定</t>
  </si>
  <si>
    <r>
      <rPr>
        <sz val="10"/>
        <rFont val="WenQuanYi Zen Hei"/>
        <family val="2"/>
      </rPr>
      <t xml:space="preserve">白俄及 </t>
    </r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已生效、待生效、谈判中的协定</t>
    </r>
  </si>
  <si>
    <t xml:space="preserve">出口关税与管制</t>
  </si>
  <si>
    <t xml:space="preserve">油品和液化气出口关税、临时出口禁令、出口最低限价</t>
  </si>
  <si>
    <t xml:space="preserve">非关税措施与反制</t>
  </si>
  <si>
    <t xml:space="preserve">进口禁令、边境口岸禁令、标识与监管要求</t>
  </si>
  <si>
    <t xml:space="preserve">贸易救济措施</t>
  </si>
  <si>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反倾销措施（</t>
    </r>
    <r>
      <rPr>
        <sz val="10"/>
        <rFont val="Arial"/>
        <family val="0"/>
        <charset val="1"/>
      </rPr>
      <t xml:space="preserve">2025–2026 </t>
    </r>
    <r>
      <rPr>
        <sz val="10"/>
        <rFont val="WenQuanYi Zen Hei"/>
        <family val="2"/>
      </rPr>
      <t xml:space="preserve">年报道部分）</t>
    </r>
  </si>
  <si>
    <t xml:space="preserve">免税额、超额税率、电商新规</t>
  </si>
  <si>
    <t xml:space="preserve">汽车进口专题</t>
  </si>
  <si>
    <t xml:space="preserve">乘用车关税、电动车配额、混动车规则、报废税</t>
  </si>
  <si>
    <t xml:space="preserve">外部市场对白关税</t>
  </si>
  <si>
    <t xml:space="preserve">欧盟、美国及主要伙伴对白俄商品的关税待遇</t>
  </si>
  <si>
    <t xml:space="preserve">政策时间线</t>
  </si>
  <si>
    <r>
      <rPr>
        <sz val="10"/>
        <rFont val="Arial"/>
        <family val="0"/>
        <charset val="1"/>
      </rPr>
      <t xml:space="preserve">2015–2028 </t>
    </r>
    <r>
      <rPr>
        <sz val="10"/>
        <rFont val="WenQuanYi Zen Hei"/>
        <family val="2"/>
      </rPr>
      <t xml:space="preserve">年关键节点</t>
    </r>
  </si>
  <si>
    <t xml:space="preserve">税费测算器</t>
  </si>
  <si>
    <t xml:space="preserve">输入货值和税率，自动计算进口环节应缴税费（公式驱动，可修改）</t>
  </si>
  <si>
    <t xml:space="preserve">数据来源</t>
  </si>
  <si>
    <t xml:space="preserve">全部来源编号、机构、标题、链接、来源层级</t>
  </si>
  <si>
    <t xml:space="preserve">四、可信度标识</t>
  </si>
  <si>
    <t xml:space="preserve">高</t>
  </si>
  <si>
    <r>
      <rPr>
        <sz val="10"/>
        <rFont val="WenQuanYi Zen Hei"/>
        <family val="2"/>
      </rPr>
      <t xml:space="preserve">来自白俄官方来源（政府机构、</t>
    </r>
    <r>
      <rPr>
        <sz val="10"/>
        <rFont val="Arial"/>
        <family val="0"/>
        <charset val="1"/>
      </rPr>
      <t xml:space="preserve">pravo.by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BelTA</t>
    </r>
    <r>
      <rPr>
        <sz val="10"/>
        <rFont val="WenQuanYi Zen Hei"/>
        <family val="2"/>
      </rPr>
      <t xml:space="preserve">）或权威国际机构，信息具体到日期或文号，且与其他来源无矛盾。</t>
    </r>
  </si>
  <si>
    <t xml:space="preserve">中</t>
  </si>
  <si>
    <r>
      <rPr>
        <sz val="10"/>
        <rFont val="WenQuanYi Zen Hei"/>
        <family val="2"/>
      </rPr>
      <t xml:space="preserve">只有单一来源的摘要；或来自第三方数据库（</t>
    </r>
    <r>
      <rPr>
        <sz val="10"/>
        <rFont val="Arial"/>
        <family val="0"/>
        <charset val="1"/>
      </rPr>
      <t xml:space="preserve">alta.ru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tks.ru</t>
    </r>
    <r>
      <rPr>
        <sz val="10"/>
        <rFont val="WenQuanYi Zen Hei"/>
        <family val="2"/>
      </rPr>
      <t xml:space="preserve">）；或使用代理指标（如以俄罗斯数据代表 </t>
    </r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税则）。</t>
    </r>
  </si>
  <si>
    <t xml:space="preserve">低</t>
  </si>
  <si>
    <t xml:space="preserve">来源之间相互矛盾，或摘要可能不完整（如复合税率只显示了一部分）。使用前必须核实。</t>
  </si>
  <si>
    <t xml:space="preserve">研究方法与论证思路</t>
  </si>
  <si>
    <t xml:space="preserve">说明本报告回答了哪些问题、每个结论是怎么推出来的、证据来自哪里、可信度如何判断，以及有哪些局限</t>
  </si>
  <si>
    <t xml:space="preserve">一、研究问题拆解</t>
  </si>
  <si>
    <t xml:space="preserve">编号</t>
  </si>
  <si>
    <t xml:space="preserve">研究问题</t>
  </si>
  <si>
    <t xml:space="preserve">为什么重要</t>
  </si>
  <si>
    <t xml:space="preserve">对应工作表</t>
  </si>
  <si>
    <t xml:space="preserve">Q1</t>
  </si>
  <si>
    <t xml:space="preserve">谁决定白俄罗斯的进口关税？</t>
  </si>
  <si>
    <t xml:space="preserve">决定了应该查“白俄税则”还是“联盟税则”，是后续一切分析的前提</t>
  </si>
  <si>
    <t xml:space="preserve">Q2</t>
  </si>
  <si>
    <t xml:space="preserve">税率总体水平如何？具体商品是多少？</t>
  </si>
  <si>
    <t xml:space="preserve">评估市场准入成本</t>
  </si>
  <si>
    <t xml:space="preserve">Q3</t>
  </si>
  <si>
    <t xml:space="preserve">进口时实际要交哪些税费？怎么计算？</t>
  </si>
  <si>
    <t xml:space="preserve">关税之外的增值税、消费税、手续费往往是更大的成本</t>
  </si>
  <si>
    <t xml:space="preserve">进口税费构成；税费测算器</t>
  </si>
  <si>
    <t xml:space="preserve">Q4</t>
  </si>
  <si>
    <t xml:space="preserve">中国原产商品适用什么待遇？</t>
  </si>
  <si>
    <t xml:space="preserve">判断中国出口商是否有优惠可用</t>
  </si>
  <si>
    <t xml:space="preserve">关税优惠与减免；自贸协定</t>
  </si>
  <si>
    <t xml:space="preserve">Q5</t>
  </si>
  <si>
    <t xml:space="preserve">哪些国家或商品享受优惠？</t>
  </si>
  <si>
    <t xml:space="preserve">识别竞争对手的关税优势和可利用的减免</t>
  </si>
  <si>
    <t xml:space="preserve">Q6</t>
  </si>
  <si>
    <t xml:space="preserve">出口有哪些关税和管制？</t>
  </si>
  <si>
    <t xml:space="preserve">完整描述贸易政策，涉及原料采购</t>
  </si>
  <si>
    <t xml:space="preserve">Q7</t>
  </si>
  <si>
    <t xml:space="preserve">有哪些非关税壁垒和反制措施？</t>
  </si>
  <si>
    <t xml:space="preserve">某些商品即使税率不高也可能被禁止进口</t>
  </si>
  <si>
    <t xml:space="preserve">非关税措施与反制；贸易救济措施</t>
  </si>
  <si>
    <t xml:space="preserve">Q8</t>
  </si>
  <si>
    <t xml:space="preserve">主要市场对白俄商品征什么税？</t>
  </si>
  <si>
    <t xml:space="preserve">白俄出口环境，也影响其进口结构</t>
  </si>
  <si>
    <t xml:space="preserve">Q9</t>
  </si>
  <si>
    <t xml:space="preserve">近期政策往哪个方向变？</t>
  </si>
  <si>
    <t xml:space="preserve">为决策提供前瞻判断</t>
  </si>
  <si>
    <t xml:space="preserve">二、论证链条（结论 ← 证据 ← 推理）</t>
  </si>
  <si>
    <t xml:space="preserve">步骤</t>
  </si>
  <si>
    <t xml:space="preserve">论点</t>
  </si>
  <si>
    <t xml:space="preserve">证据（摘要）</t>
  </si>
  <si>
    <t xml:space="preserve">来源编号</t>
  </si>
  <si>
    <t xml:space="preserve">推理与说明</t>
  </si>
  <si>
    <t xml:space="preserve">可信度</t>
  </si>
  <si>
    <r>
      <rPr>
        <sz val="10"/>
        <rFont val="WenQuanYi Zen Hei"/>
        <family val="2"/>
      </rPr>
      <t xml:space="preserve">白俄进口关税由 </t>
    </r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统一制定，白俄本国不单独设定税率</t>
    </r>
  </si>
  <si>
    <r>
      <rPr>
        <sz val="10"/>
        <rFont val="WenQuanYi Zen Hei"/>
        <family val="2"/>
      </rPr>
      <t xml:space="preserve">白俄外交部“进口关税”页面和 </t>
    </r>
    <r>
      <rPr>
        <sz val="10"/>
        <rFont val="Arial"/>
        <family val="0"/>
        <charset val="1"/>
      </rPr>
      <t xml:space="preserve">ГТК </t>
    </r>
    <r>
      <rPr>
        <sz val="10"/>
        <rFont val="WenQuanYi Zen Hei"/>
        <family val="2"/>
      </rPr>
      <t xml:space="preserve">页面均说明：白俄的关税调节依照 </t>
    </r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规范进行，要素是统一商品目录（</t>
    </r>
    <r>
      <rPr>
        <sz val="10"/>
        <rFont val="Arial"/>
        <family val="0"/>
        <charset val="1"/>
      </rPr>
      <t xml:space="preserve">ТН ВЭД ЕАЭС</t>
    </r>
    <r>
      <rPr>
        <sz val="10"/>
        <rFont val="WenQuanYi Zen Hei"/>
        <family val="2"/>
      </rPr>
      <t xml:space="preserve">）、统一关税税则（</t>
    </r>
    <r>
      <rPr>
        <sz val="10"/>
        <rFont val="Arial"/>
        <family val="0"/>
        <charset val="1"/>
      </rPr>
      <t xml:space="preserve">ЕТТ ЕАЭС</t>
    </r>
    <r>
      <rPr>
        <sz val="10"/>
        <rFont val="WenQuanYi Zen Hei"/>
        <family val="2"/>
      </rPr>
      <t xml:space="preserve">）和统一原产地规则；</t>
    </r>
    <r>
      <rPr>
        <sz val="10"/>
        <rFont val="Arial"/>
        <family val="0"/>
        <charset val="1"/>
      </rPr>
      <t xml:space="preserve">ЕТТ </t>
    </r>
    <r>
      <rPr>
        <sz val="10"/>
        <rFont val="WenQuanYi Zen Hei"/>
        <family val="2"/>
      </rPr>
      <t xml:space="preserve">税率适用于从任何国家进入联盟统一关境的商品，但给予关税优惠或自贸安排的情况除外。</t>
    </r>
  </si>
  <si>
    <t xml:space="preserve">S001, S010, S028, S029</t>
  </si>
  <si>
    <r>
      <rPr>
        <sz val="10"/>
        <rFont val="WenQuanYi Zen Hei"/>
        <family val="2"/>
      </rPr>
      <t xml:space="preserve">关税权已让渡给联盟，所以分析税率必须以 </t>
    </r>
    <r>
      <rPr>
        <sz val="10"/>
        <rFont val="Arial"/>
        <family val="0"/>
        <charset val="1"/>
      </rPr>
      <t xml:space="preserve">ЕТТ ЕАЭС </t>
    </r>
    <r>
      <rPr>
        <sz val="10"/>
        <rFont val="WenQuanYi Zen Hei"/>
        <family val="2"/>
      </rPr>
      <t xml:space="preserve">为准，不存在单独的“白俄国家税则”。白俄的政策空间集中在国内税（增值税、消费税）、收费和禁限措施上。</t>
    </r>
  </si>
  <si>
    <t xml:space="preserve">白俄只能通过联盟程序影响税率，国别差异以“关税优惠”形式出现</t>
  </si>
  <si>
    <r>
      <rPr>
        <sz val="10"/>
        <rFont val="WenQuanYi Zen Hei"/>
        <family val="2"/>
      </rPr>
      <t xml:space="preserve">外交部设有“发起提高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调整进口关税税率”的专门页面，由本国企业提出申请、经联盟审议；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年白俄获得 </t>
    </r>
    <r>
      <rPr>
        <sz val="10"/>
        <rFont val="Arial"/>
        <family val="0"/>
        <charset val="1"/>
      </rPr>
      <t xml:space="preserve">7,500 </t>
    </r>
    <r>
      <rPr>
        <sz val="10"/>
        <rFont val="WenQuanYi Zen Hei"/>
        <family val="2"/>
      </rPr>
      <t xml:space="preserve">吨牛肉免关税、</t>
    </r>
    <r>
      <rPr>
        <sz val="10"/>
        <rFont val="Arial"/>
        <family val="0"/>
        <charset val="1"/>
      </rPr>
      <t xml:space="preserve">20,000 </t>
    </r>
    <r>
      <rPr>
        <sz val="10"/>
        <rFont val="WenQuanYi Zen Hei"/>
        <family val="2"/>
      </rPr>
      <t xml:space="preserve">辆电动车免关税配额，两者都以 </t>
    </r>
    <r>
      <rPr>
        <sz val="10"/>
        <rFont val="Arial"/>
        <family val="0"/>
        <charset val="1"/>
      </rPr>
      <t xml:space="preserve">EEC </t>
    </r>
    <r>
      <rPr>
        <sz val="10"/>
        <rFont val="WenQuanYi Zen Hei"/>
        <family val="2"/>
      </rPr>
      <t xml:space="preserve">理事会决定为依据，再由白俄部长会议或 </t>
    </r>
    <r>
      <rPr>
        <sz val="10"/>
        <rFont val="Arial"/>
        <family val="0"/>
        <charset val="1"/>
      </rPr>
      <t xml:space="preserve">ГТК </t>
    </r>
    <r>
      <rPr>
        <sz val="10"/>
        <rFont val="WenQuanYi Zen Hei"/>
        <family val="2"/>
      </rPr>
      <t xml:space="preserve">落实。</t>
    </r>
  </si>
  <si>
    <t xml:space="preserve">S003, S004, S046, S021</t>
  </si>
  <si>
    <t xml:space="preserve">在同一关境内，白俄与其他成员国的税率差异只能来自联盟批准的定额关税优惠，不能由白俄单方面改动。</t>
  </si>
  <si>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税则的总体水平约为 </t>
    </r>
    <r>
      <rPr>
        <sz val="10"/>
        <rFont val="Arial"/>
        <family val="0"/>
        <charset val="1"/>
      </rPr>
      <t xml:space="preserve">6.6%</t>
    </r>
    <r>
      <rPr>
        <sz val="10"/>
        <rFont val="WenQuanYi Zen Hei"/>
        <family val="2"/>
      </rPr>
      <t xml:space="preserve">（简单平均）</t>
    </r>
  </si>
  <si>
    <r>
      <rPr>
        <sz val="10"/>
        <rFont val="Arial"/>
        <family val="0"/>
        <charset val="1"/>
      </rPr>
      <t xml:space="preserve">WTO</t>
    </r>
    <r>
      <rPr>
        <sz val="10"/>
        <rFont val="WenQuanYi Zen Hei"/>
        <family val="2"/>
      </rPr>
      <t xml:space="preserve">《世界关税概况 </t>
    </r>
    <r>
      <rPr>
        <sz val="10"/>
        <rFont val="Arial"/>
        <family val="0"/>
        <charset val="1"/>
      </rPr>
      <t xml:space="preserve">2025</t>
    </r>
    <r>
      <rPr>
        <sz val="10"/>
        <rFont val="WenQuanYi Zen Hei"/>
        <family val="2"/>
      </rPr>
      <t xml:space="preserve">》：俄罗斯 </t>
    </r>
    <r>
      <rPr>
        <sz val="10"/>
        <rFont val="Arial"/>
        <family val="0"/>
        <charset val="1"/>
      </rPr>
      <t xml:space="preserve">2024 </t>
    </r>
    <r>
      <rPr>
        <sz val="10"/>
        <rFont val="WenQuanYi Zen Hei"/>
        <family val="2"/>
      </rPr>
      <t xml:space="preserve">年最惠国简单平均适用税率 </t>
    </r>
    <r>
      <rPr>
        <sz val="10"/>
        <rFont val="Arial"/>
        <family val="0"/>
        <charset val="1"/>
      </rPr>
      <t xml:space="preserve">6.6%</t>
    </r>
    <r>
      <rPr>
        <sz val="10"/>
        <rFont val="WenQuanYi Zen Hei"/>
        <family val="2"/>
      </rPr>
      <t xml:space="preserve">，其中农产品 </t>
    </r>
    <r>
      <rPr>
        <sz val="10"/>
        <rFont val="Arial"/>
        <family val="0"/>
        <charset val="1"/>
      </rPr>
      <t xml:space="preserve">7.1%</t>
    </r>
    <r>
      <rPr>
        <sz val="10"/>
        <rFont val="WenQuanYi Zen Hei"/>
        <family val="2"/>
      </rPr>
      <t xml:space="preserve">、非农产品 </t>
    </r>
    <r>
      <rPr>
        <sz val="10"/>
        <rFont val="Arial"/>
        <family val="0"/>
        <charset val="1"/>
      </rPr>
      <t xml:space="preserve">6.1%</t>
    </r>
    <r>
      <rPr>
        <sz val="10"/>
        <rFont val="WenQuanYi Zen Hei"/>
        <family val="2"/>
      </rPr>
      <t xml:space="preserve">；世界银行 </t>
    </r>
    <r>
      <rPr>
        <sz val="10"/>
        <rFont val="Arial"/>
        <family val="0"/>
        <charset val="1"/>
      </rPr>
      <t xml:space="preserve">WITS </t>
    </r>
    <r>
      <rPr>
        <sz val="10"/>
        <rFont val="WenQuanYi Zen Hei"/>
        <family val="2"/>
      </rPr>
      <t xml:space="preserve">给出的贸易加权平均约 </t>
    </r>
    <r>
      <rPr>
        <sz val="10"/>
        <rFont val="Arial"/>
        <family val="0"/>
        <charset val="1"/>
      </rPr>
      <t xml:space="preserve">5.1%</t>
    </r>
    <r>
      <rPr>
        <sz val="10"/>
        <rFont val="WenQuanYi Zen Hei"/>
        <family val="2"/>
      </rPr>
      <t xml:space="preserve">。</t>
    </r>
  </si>
  <si>
    <t xml:space="preserve">S107, S106, S110</t>
  </si>
  <si>
    <r>
      <rPr>
        <sz val="10"/>
        <rFont val="WenQuanYi Zen Hei"/>
        <family val="2"/>
      </rPr>
      <t xml:space="preserve">白俄不是 </t>
    </r>
    <r>
      <rPr>
        <sz val="10"/>
        <rFont val="Arial"/>
        <family val="0"/>
        <charset val="1"/>
      </rPr>
      <t xml:space="preserve">WTO </t>
    </r>
    <r>
      <rPr>
        <sz val="10"/>
        <rFont val="WenQuanYi Zen Hei"/>
        <family val="2"/>
      </rPr>
      <t xml:space="preserve">成员（</t>
    </r>
    <r>
      <rPr>
        <sz val="10"/>
        <rFont val="Arial"/>
        <family val="0"/>
        <charset val="1"/>
      </rPr>
      <t xml:space="preserve">1993 </t>
    </r>
    <r>
      <rPr>
        <sz val="10"/>
        <rFont val="WenQuanYi Zen Hei"/>
        <family val="2"/>
      </rPr>
      <t xml:space="preserve">年申请；</t>
    </r>
    <r>
      <rPr>
        <sz val="10"/>
        <rFont val="Arial"/>
        <family val="0"/>
        <charset val="1"/>
      </rPr>
      <t xml:space="preserve">2022 </t>
    </r>
    <r>
      <rPr>
        <sz val="10"/>
        <rFont val="WenQuanYi Zen Hei"/>
        <family val="2"/>
      </rPr>
      <t xml:space="preserve">年起部分成员暂停审议），</t>
    </r>
    <r>
      <rPr>
        <sz val="10"/>
        <rFont val="Arial"/>
        <family val="0"/>
        <charset val="1"/>
      </rPr>
      <t xml:space="preserve">WTO </t>
    </r>
    <r>
      <rPr>
        <sz val="10"/>
        <rFont val="WenQuanYi Zen Hei"/>
        <family val="2"/>
      </rPr>
      <t xml:space="preserve">没有白俄的关税概况。俄罗斯对第三国适用同一部 </t>
    </r>
    <r>
      <rPr>
        <sz val="10"/>
        <rFont val="Arial"/>
        <family val="0"/>
        <charset val="1"/>
      </rPr>
      <t xml:space="preserve">ЕТТ</t>
    </r>
    <r>
      <rPr>
        <sz val="10"/>
        <rFont val="WenQuanYi Zen Hei"/>
        <family val="2"/>
      </rPr>
      <t xml:space="preserve">，所以俄罗斯数据可以作为代理。误差来源：哈、吉、亚有过渡期例外清单，本次未检索到白俄的全面例外清单，因此预计代理误差较小，但仍标为“中”。</t>
    </r>
  </si>
  <si>
    <r>
      <rPr>
        <sz val="10"/>
        <rFont val="WenQuanYi Zen Hei"/>
        <family val="2"/>
      </rPr>
      <t xml:space="preserve">进口环节综合税负 ≈ 关税 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（完税价格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关税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消费税）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增值税率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手续费等</t>
    </r>
  </si>
  <si>
    <r>
      <rPr>
        <sz val="10"/>
        <rFont val="WenQuanYi Zen Hei"/>
        <family val="2"/>
      </rPr>
      <t xml:space="preserve">财政部和税务部资料：增值税税率为 </t>
    </r>
    <r>
      <rPr>
        <sz val="10"/>
        <rFont val="Arial"/>
        <family val="0"/>
        <charset val="1"/>
      </rPr>
      <t xml:space="preserve">20%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10%</t>
    </r>
    <r>
      <rPr>
        <sz val="10"/>
        <rFont val="WenQuanYi Zen Hei"/>
        <family val="2"/>
      </rPr>
      <t xml:space="preserve">（清单商品）和 </t>
    </r>
    <r>
      <rPr>
        <sz val="10"/>
        <rFont val="Arial"/>
        <family val="0"/>
        <charset val="1"/>
      </rPr>
      <t xml:space="preserve">0%</t>
    </r>
    <r>
      <rPr>
        <sz val="10"/>
        <rFont val="WenQuanYi Zen Hei"/>
        <family val="2"/>
      </rPr>
      <t xml:space="preserve">（出口）；消费税按《税法典》附件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的从量税额征收；海关手续费依总统令第 </t>
    </r>
    <r>
      <rPr>
        <sz val="10"/>
        <rFont val="Arial"/>
        <family val="0"/>
        <charset val="1"/>
      </rPr>
      <t xml:space="preserve">443 </t>
    </r>
    <r>
      <rPr>
        <sz val="10"/>
        <rFont val="WenQuanYi Zen Hei"/>
        <family val="2"/>
      </rPr>
      <t xml:space="preserve">号；车辆另征报废税。</t>
    </r>
  </si>
  <si>
    <t xml:space="preserve">S026, S027, S022, S031, S043</t>
  </si>
  <si>
    <r>
      <rPr>
        <sz val="10"/>
        <rFont val="WenQuanYi Zen Hei"/>
        <family val="2"/>
      </rPr>
      <t xml:space="preserve">增值税的税基包含关税，关税每提高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个百分点，总税负约提高 </t>
    </r>
    <r>
      <rPr>
        <sz val="10"/>
        <rFont val="Arial"/>
        <family val="0"/>
        <charset val="1"/>
      </rPr>
      <t xml:space="preserve">1.2 </t>
    </r>
    <r>
      <rPr>
        <sz val="10"/>
        <rFont val="WenQuanYi Zen Hei"/>
        <family val="2"/>
      </rPr>
      <t xml:space="preserve">个百分点（按 </t>
    </r>
    <r>
      <rPr>
        <sz val="10"/>
        <rFont val="Arial"/>
        <family val="0"/>
        <charset val="1"/>
      </rPr>
      <t xml:space="preserve">20% </t>
    </r>
    <r>
      <rPr>
        <sz val="10"/>
        <rFont val="WenQuanYi Zen Hei"/>
        <family val="2"/>
      </rPr>
      <t xml:space="preserve">增值税计）。据此建立“税费测算器”，并在“商品税率样例”中用公式计算综合负担。</t>
    </r>
  </si>
  <si>
    <r>
      <rPr>
        <sz val="10"/>
        <rFont val="WenQuanYi Zen Hei"/>
        <family val="2"/>
      </rPr>
      <t xml:space="preserve">中国原产商品适用 </t>
    </r>
    <r>
      <rPr>
        <sz val="10"/>
        <rFont val="Arial"/>
        <family val="0"/>
        <charset val="1"/>
      </rPr>
      <t xml:space="preserve">ЕТТ </t>
    </r>
    <r>
      <rPr>
        <sz val="10"/>
        <rFont val="WenQuanYi Zen Hei"/>
        <family val="2"/>
      </rPr>
      <t xml:space="preserve">一般税率，无普惠制或自贸优惠</t>
    </r>
  </si>
  <si>
    <r>
      <rPr>
        <sz val="10"/>
        <rFont val="Arial"/>
        <family val="0"/>
        <charset val="1"/>
      </rPr>
      <t xml:space="preserve">BelTA 2021 </t>
    </r>
    <r>
      <rPr>
        <sz val="10"/>
        <rFont val="WenQuanYi Zen Hei"/>
        <family val="2"/>
      </rPr>
      <t xml:space="preserve">年报道：</t>
    </r>
    <r>
      <rPr>
        <sz val="10"/>
        <rFont val="Arial"/>
        <family val="0"/>
        <charset val="1"/>
      </rPr>
      <t xml:space="preserve">EEC </t>
    </r>
    <r>
      <rPr>
        <sz val="10"/>
        <rFont val="WenQuanYi Zen Hei"/>
        <family val="2"/>
      </rPr>
      <t xml:space="preserve">理事会把 </t>
    </r>
    <r>
      <rPr>
        <sz val="10"/>
        <rFont val="Arial"/>
        <family val="0"/>
        <charset val="1"/>
      </rPr>
      <t xml:space="preserve">77 </t>
    </r>
    <r>
      <rPr>
        <sz val="10"/>
        <rFont val="WenQuanYi Zen Hei"/>
        <family val="2"/>
      </rPr>
      <t xml:space="preserve">个国家移出统一关税优惠体系；第三方资料列明中国、巴西、土耳其、韩国等转为基本税率。</t>
    </r>
    <r>
      <rPr>
        <sz val="10"/>
        <rFont val="Arial"/>
        <family val="0"/>
        <charset val="1"/>
      </rPr>
      <t xml:space="preserve">BelTA 2019 </t>
    </r>
    <r>
      <rPr>
        <sz val="10"/>
        <rFont val="WenQuanYi Zen Hei"/>
        <family val="2"/>
      </rPr>
      <t xml:space="preserve">年引述 </t>
    </r>
    <r>
      <rPr>
        <sz val="10"/>
        <rFont val="Arial"/>
        <family val="0"/>
        <charset val="1"/>
      </rPr>
      <t xml:space="preserve">EEC </t>
    </r>
    <r>
      <rPr>
        <sz val="10"/>
        <rFont val="WenQuanYi Zen Hei"/>
        <family val="2"/>
      </rPr>
      <t xml:space="preserve">部长：</t>
    </r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暂不准备与中国建立优惠贸易制度，</t>
    </r>
    <r>
      <rPr>
        <sz val="10"/>
        <rFont val="Arial"/>
        <family val="0"/>
        <charset val="1"/>
      </rPr>
      <t xml:space="preserve">EAEU–</t>
    </r>
    <r>
      <rPr>
        <sz val="10"/>
        <rFont val="WenQuanYi Zen Hei"/>
        <family val="2"/>
      </rPr>
      <t xml:space="preserve">中国经贸合作协定为非优惠协定。</t>
    </r>
  </si>
  <si>
    <t xml:space="preserve">S070, S071, S117, S072, S008</t>
  </si>
  <si>
    <r>
      <rPr>
        <sz val="10"/>
        <rFont val="WenQuanYi Zen Hei"/>
        <family val="2"/>
      </rPr>
      <t xml:space="preserve">两条优惠通道（普惠制、自贸协定）对中国都不适用，结论是按一般税率征税。可用的替代路径有两条：中白工业园“巨石”的设备和原料进口免税；在与 </t>
    </r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有自贸协定的国家布局产能（须满足原产地规则）。</t>
    </r>
  </si>
  <si>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正在加快扩展自贸网络，第三国竞争对手将获得关税优势</t>
    </r>
  </si>
  <si>
    <r>
      <rPr>
        <sz val="10"/>
        <rFont val="WenQuanYi Zen Hei"/>
        <family val="2"/>
      </rPr>
      <t xml:space="preserve">伊朗全面自贸协定 </t>
    </r>
    <r>
      <rPr>
        <sz val="10"/>
        <rFont val="Arial"/>
        <family val="0"/>
        <charset val="1"/>
      </rPr>
      <t xml:space="preserve">2025-05-15 </t>
    </r>
    <r>
      <rPr>
        <sz val="10"/>
        <rFont val="WenQuanYi Zen Hei"/>
        <family val="2"/>
      </rPr>
      <t xml:space="preserve">生效（约 </t>
    </r>
    <r>
      <rPr>
        <sz val="10"/>
        <rFont val="Arial"/>
        <family val="0"/>
        <charset val="1"/>
      </rPr>
      <t xml:space="preserve">90% </t>
    </r>
    <r>
      <rPr>
        <sz val="10"/>
        <rFont val="WenQuanYi Zen Hei"/>
        <family val="2"/>
      </rPr>
      <t xml:space="preserve">税目免税）；蒙古临时协定 </t>
    </r>
    <r>
      <rPr>
        <sz val="10"/>
        <rFont val="Arial"/>
        <family val="0"/>
        <charset val="1"/>
      </rPr>
      <t xml:space="preserve">2026-07-22 </t>
    </r>
    <r>
      <rPr>
        <sz val="10"/>
        <rFont val="WenQuanYi Zen Hei"/>
        <family val="2"/>
      </rPr>
      <t xml:space="preserve">生效；阿联酋经济伙伴协定 </t>
    </r>
    <r>
      <rPr>
        <sz val="10"/>
        <rFont val="Arial"/>
        <family val="0"/>
        <charset val="1"/>
      </rPr>
      <t xml:space="preserve">2026-10-06 </t>
    </r>
    <r>
      <rPr>
        <sz val="10"/>
        <rFont val="WenQuanYi Zen Hei"/>
        <family val="2"/>
      </rPr>
      <t xml:space="preserve">生效；印尼自贸协定 </t>
    </r>
    <r>
      <rPr>
        <sz val="10"/>
        <rFont val="Arial"/>
        <family val="0"/>
        <charset val="1"/>
      </rPr>
      <t xml:space="preserve">2025-12-21 </t>
    </r>
    <r>
      <rPr>
        <sz val="10"/>
        <rFont val="WenQuanYi Zen Hei"/>
        <family val="2"/>
      </rPr>
      <t xml:space="preserve">签署、白俄已批准；与印度谈判中。</t>
    </r>
  </si>
  <si>
    <t xml:space="preserve">S060, S083, S082, S084, S061</t>
  </si>
  <si>
    <t xml:space="preserve">越南、伊朗、印尼等国的同类商品进入白俄时关税更低，中国出口商在价格敏感品类上需要关注替代竞争。</t>
  </si>
  <si>
    <t xml:space="preserve">白俄对国内市场的保护在加强</t>
  </si>
  <si>
    <r>
      <rPr>
        <sz val="10"/>
        <rFont val="WenQuanYi Zen Hei"/>
        <family val="2"/>
      </rPr>
      <t xml:space="preserve">报废税 </t>
    </r>
    <r>
      <rPr>
        <sz val="10"/>
        <rFont val="Arial"/>
        <family val="0"/>
        <charset val="1"/>
      </rPr>
      <t xml:space="preserve">2026-04-29 </t>
    </r>
    <r>
      <rPr>
        <sz val="10"/>
        <rFont val="WenQuanYi Zen Hei"/>
        <family val="2"/>
      </rPr>
      <t xml:space="preserve">起整体上调约 </t>
    </r>
    <r>
      <rPr>
        <sz val="10"/>
        <rFont val="Arial"/>
        <family val="0"/>
        <charset val="1"/>
      </rPr>
      <t xml:space="preserve">7%</t>
    </r>
    <r>
      <rPr>
        <sz val="10"/>
        <rFont val="WenQuanYi Zen Hei"/>
        <family val="2"/>
      </rPr>
      <t xml:space="preserve">，部分品目成倍提高；</t>
    </r>
    <r>
      <rPr>
        <sz val="10"/>
        <rFont val="Arial"/>
        <family val="0"/>
        <charset val="1"/>
      </rPr>
      <t xml:space="preserve">EEC </t>
    </r>
    <r>
      <rPr>
        <sz val="10"/>
        <rFont val="WenQuanYi Zen Hei"/>
        <family val="2"/>
      </rPr>
      <t xml:space="preserve">延长或新增多项对华反倾销措施；临时出口禁令用于防止国内短缺；电动车配额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年内就已用完。</t>
    </r>
  </si>
  <si>
    <t xml:space="preserve">S043, S074, S093, S091, S053, S075</t>
  </si>
  <si>
    <t xml:space="preserve">汽车、钢铁制品、化工原料等行业面临更高的准入成本，政策波动也更频繁。</t>
  </si>
  <si>
    <t xml:space="preserve">地缘政治反制措施带来“原产地和路线风险”</t>
  </si>
  <si>
    <r>
      <rPr>
        <sz val="10"/>
        <rFont val="WenQuanYi Zen Hei"/>
        <family val="2"/>
      </rPr>
      <t xml:space="preserve">不友好国家商品禁令有效期至 </t>
    </r>
    <r>
      <rPr>
        <sz val="10"/>
        <rFont val="Arial"/>
        <family val="0"/>
        <charset val="1"/>
      </rPr>
      <t xml:space="preserve">2027 </t>
    </r>
    <r>
      <rPr>
        <sz val="10"/>
        <rFont val="WenQuanYi Zen Hei"/>
        <family val="2"/>
      </rPr>
      <t xml:space="preserve">年底；立陶宛边境口岸禁令不论原产地，有效期至 </t>
    </r>
    <r>
      <rPr>
        <sz val="10"/>
        <rFont val="Arial"/>
        <family val="0"/>
        <charset val="1"/>
      </rPr>
      <t xml:space="preserve">2027 </t>
    </r>
    <r>
      <rPr>
        <sz val="10"/>
        <rFont val="WenQuanYi Zen Hei"/>
        <family val="2"/>
      </rPr>
      <t xml:space="preserve">年底；禁止在不友好国家境内对进口酒类加贴标识。</t>
    </r>
  </si>
  <si>
    <t xml:space="preserve">S079, S050, S049, S051</t>
  </si>
  <si>
    <t xml:space="preserve">同一商品能否进口，取决于原产国和运输路线；经波罗的海国家转运时需要特别核查。</t>
  </si>
  <si>
    <t xml:space="preserve">白俄出口受到欧美歧视性关税，美方出现松动</t>
  </si>
  <si>
    <r>
      <rPr>
        <sz val="10"/>
        <rFont val="WenQuanYi Zen Hei"/>
        <family val="2"/>
      </rPr>
      <t xml:space="preserve">欧盟 </t>
    </r>
    <r>
      <rPr>
        <sz val="10"/>
        <rFont val="Arial"/>
        <family val="0"/>
        <charset val="1"/>
      </rPr>
      <t xml:space="preserve">(EU) 2025/1227 </t>
    </r>
    <r>
      <rPr>
        <sz val="10"/>
        <rFont val="WenQuanYi Zen Hei"/>
        <family val="2"/>
      </rPr>
      <t xml:space="preserve">条例；美国《暂停对俄罗斯和白俄罗斯正常贸易关系法》；</t>
    </r>
    <r>
      <rPr>
        <sz val="10"/>
        <rFont val="Arial"/>
        <family val="0"/>
        <charset val="1"/>
      </rPr>
      <t xml:space="preserve">2025–2026 </t>
    </r>
    <r>
      <rPr>
        <sz val="10"/>
        <rFont val="WenQuanYi Zen Hei"/>
        <family val="2"/>
      </rPr>
      <t xml:space="preserve">年美方解除对 </t>
    </r>
    <r>
      <rPr>
        <sz val="10"/>
        <rFont val="Arial"/>
        <family val="0"/>
        <charset val="1"/>
      </rPr>
      <t xml:space="preserve">Belavia</t>
    </r>
    <r>
      <rPr>
        <sz val="10"/>
        <rFont val="WenQuanYi Zen Hei"/>
        <family val="2"/>
      </rPr>
      <t xml:space="preserve">、钾肥企业和部分银行的制裁。</t>
    </r>
  </si>
  <si>
    <t xml:space="preserve">S112, S111, S113, S099, S101</t>
  </si>
  <si>
    <r>
      <rPr>
        <sz val="10"/>
        <rFont val="WenQuanYi Zen Hei"/>
        <family val="2"/>
      </rPr>
      <t xml:space="preserve">白俄贸易进一步转向俄罗斯、中国、阿联酋（外交部称为前三大贸易伙伴），这也解释了它积极推动 </t>
    </r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自贸协定的动机。</t>
    </r>
  </si>
  <si>
    <t xml:space="preserve">个人物品和跨境电商规则趋于收紧和规范</t>
  </si>
  <si>
    <r>
      <rPr>
        <sz val="10"/>
        <rFont val="WenQuanYi Zen Hei"/>
        <family val="2"/>
      </rPr>
      <t xml:space="preserve">国际邮件免税额从临时的 </t>
    </r>
    <r>
      <rPr>
        <sz val="10"/>
        <rFont val="Arial"/>
        <family val="0"/>
        <charset val="1"/>
      </rPr>
      <t xml:space="preserve">1,000 </t>
    </r>
    <r>
      <rPr>
        <sz val="10"/>
        <rFont val="WenQuanYi Zen Hei"/>
        <family val="2"/>
      </rPr>
      <t xml:space="preserve">欧元降至 </t>
    </r>
    <r>
      <rPr>
        <sz val="10"/>
        <rFont val="Arial"/>
        <family val="0"/>
        <charset val="1"/>
      </rPr>
      <t xml:space="preserve">200 </t>
    </r>
    <r>
      <rPr>
        <sz val="10"/>
        <rFont val="WenQuanYi Zen Hei"/>
        <family val="2"/>
      </rPr>
      <t xml:space="preserve">欧元（</t>
    </r>
    <r>
      <rPr>
        <sz val="10"/>
        <rFont val="Arial"/>
        <family val="0"/>
        <charset val="1"/>
      </rPr>
      <t xml:space="preserve">2024-04-01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电商新规免税额 </t>
    </r>
    <r>
      <rPr>
        <sz val="10"/>
        <rFont val="Arial"/>
        <family val="0"/>
        <charset val="1"/>
      </rPr>
      <t xml:space="preserve">200 </t>
    </r>
    <r>
      <rPr>
        <sz val="10"/>
        <rFont val="WenQuanYi Zen Hei"/>
        <family val="2"/>
      </rPr>
      <t xml:space="preserve">欧元，超额部分征 </t>
    </r>
    <r>
      <rPr>
        <sz val="10"/>
        <rFont val="Arial"/>
        <family val="0"/>
        <charset val="1"/>
      </rPr>
      <t xml:space="preserve">5%</t>
    </r>
    <r>
      <rPr>
        <sz val="10"/>
        <rFont val="WenQuanYi Zen Hei"/>
        <family val="2"/>
      </rPr>
      <t xml:space="preserve">（不低于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欧元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公斤），计划 </t>
    </r>
    <r>
      <rPr>
        <sz val="10"/>
        <rFont val="Arial"/>
        <family val="0"/>
        <charset val="1"/>
      </rPr>
      <t xml:space="preserve">2027-01-01 </t>
    </r>
    <r>
      <rPr>
        <sz val="10"/>
        <rFont val="WenQuanYi Zen Hei"/>
        <family val="2"/>
      </rPr>
      <t xml:space="preserve">实施。</t>
    </r>
  </si>
  <si>
    <t xml:space="preserve">S017, S036, S073, S038</t>
  </si>
  <si>
    <t xml:space="preserve">面向个人的跨境电商（含中国平台）成本将上升，合规要求（申报、监管地点）也在提高。新规税率细节只见于摘要，标为“中”。</t>
  </si>
  <si>
    <t xml:space="preserve">三、来源层级与选用原则</t>
  </si>
  <si>
    <t xml:space="preserve">层级</t>
  </si>
  <si>
    <t xml:space="preserve">来源</t>
  </si>
  <si>
    <t xml:space="preserve">用途</t>
  </si>
  <si>
    <t xml:space="preserve">一级</t>
  </si>
  <si>
    <r>
      <rPr>
        <sz val="10"/>
        <rFont val="WenQuanYi Zen Hei"/>
        <family val="2"/>
      </rPr>
      <t xml:space="preserve">白俄国家机关官网：外交部 </t>
    </r>
    <r>
      <rPr>
        <sz val="10"/>
        <rFont val="Arial"/>
        <family val="0"/>
        <charset val="1"/>
      </rPr>
      <t xml:space="preserve">mfa.gov.by</t>
    </r>
    <r>
      <rPr>
        <sz val="10"/>
        <rFont val="WenQuanYi Zen Hei"/>
        <family val="2"/>
      </rPr>
      <t xml:space="preserve">、国家海关委员会 </t>
    </r>
    <r>
      <rPr>
        <sz val="10"/>
        <rFont val="Arial"/>
        <family val="0"/>
        <charset val="1"/>
      </rPr>
      <t xml:space="preserve">customs.gov.by</t>
    </r>
    <r>
      <rPr>
        <sz val="10"/>
        <rFont val="WenQuanYi Zen Hei"/>
        <family val="2"/>
      </rPr>
      <t xml:space="preserve">、税务部 </t>
    </r>
    <r>
      <rPr>
        <sz val="10"/>
        <rFont val="Arial"/>
        <family val="0"/>
        <charset val="1"/>
      </rPr>
      <t xml:space="preserve">nalog.gov.by</t>
    </r>
    <r>
      <rPr>
        <sz val="10"/>
        <rFont val="WenQuanYi Zen Hei"/>
        <family val="2"/>
      </rPr>
      <t xml:space="preserve">、财政部 </t>
    </r>
    <r>
      <rPr>
        <sz val="10"/>
        <rFont val="Arial"/>
        <family val="0"/>
        <charset val="1"/>
      </rPr>
      <t xml:space="preserve">minfin.gov.by</t>
    </r>
    <r>
      <rPr>
        <sz val="10"/>
        <rFont val="WenQuanYi Zen Hei"/>
        <family val="2"/>
      </rPr>
      <t xml:space="preserve">、经济部 </t>
    </r>
    <r>
      <rPr>
        <sz val="10"/>
        <rFont val="Arial"/>
        <family val="0"/>
        <charset val="1"/>
      </rPr>
      <t xml:space="preserve">economy.gov.by</t>
    </r>
    <r>
      <rPr>
        <sz val="10"/>
        <rFont val="WenQuanYi Zen Hei"/>
        <family val="2"/>
      </rPr>
      <t xml:space="preserve">；国家法律信息门户 </t>
    </r>
    <r>
      <rPr>
        <sz val="10"/>
        <rFont val="Arial"/>
        <family val="0"/>
        <charset val="1"/>
      </rPr>
      <t xml:space="preserve">pravo.by</t>
    </r>
    <r>
      <rPr>
        <sz val="10"/>
        <rFont val="WenQuanYi Zen Hei"/>
        <family val="2"/>
      </rPr>
      <t xml:space="preserve">（法规原文和官方解读）</t>
    </r>
  </si>
  <si>
    <t xml:space="preserve">所有能从这里得到的事实，优先使用</t>
  </si>
  <si>
    <t xml:space="preserve">二级</t>
  </si>
  <si>
    <r>
      <rPr>
        <sz val="10"/>
        <rFont val="WenQuanYi Zen Hei"/>
        <family val="2"/>
      </rPr>
      <t xml:space="preserve">白俄国家通讯社 </t>
    </r>
    <r>
      <rPr>
        <sz val="10"/>
        <rFont val="Arial"/>
        <family val="0"/>
        <charset val="1"/>
      </rPr>
      <t xml:space="preserve">BelTA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belta.by</t>
    </r>
    <r>
      <rPr>
        <sz val="10"/>
        <rFont val="WenQuanYi Zen Hei"/>
        <family val="2"/>
      </rPr>
      <t xml:space="preserve">）；白俄驻外使馆网站；中白工业园官网 </t>
    </r>
    <r>
      <rPr>
        <sz val="10"/>
        <rFont val="Arial"/>
        <family val="0"/>
        <charset val="1"/>
      </rPr>
      <t xml:space="preserve">industrialpark.by</t>
    </r>
  </si>
  <si>
    <t xml:space="preserve">用于时效性强的政策动态，尽量与一级来源交叉核对</t>
  </si>
  <si>
    <t xml:space="preserve">三级</t>
  </si>
  <si>
    <r>
      <rPr>
        <sz val="10"/>
        <rFont val="WenQuanYi Zen Hei"/>
        <family val="2"/>
      </rPr>
      <t xml:space="preserve">国际组织和外国政府：</t>
    </r>
    <r>
      <rPr>
        <sz val="10"/>
        <rFont val="Arial"/>
        <family val="0"/>
        <charset val="1"/>
      </rPr>
      <t xml:space="preserve">WTO</t>
    </r>
    <r>
      <rPr>
        <sz val="10"/>
        <rFont val="WenQuanYi Zen Hei"/>
        <family val="2"/>
      </rPr>
      <t xml:space="preserve">、世界银行 </t>
    </r>
    <r>
      <rPr>
        <sz val="10"/>
        <rFont val="Arial"/>
        <family val="0"/>
        <charset val="1"/>
      </rPr>
      <t xml:space="preserve">WITS</t>
    </r>
    <r>
      <rPr>
        <sz val="10"/>
        <rFont val="WenQuanYi Zen Hei"/>
        <family val="2"/>
      </rPr>
      <t xml:space="preserve">、欧盟理事会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欧委会、美国国会</t>
    </r>
  </si>
  <si>
    <t xml:space="preserve">只用于白俄网站不提供的数据：平均税率、欧美对白措施</t>
  </si>
  <si>
    <t xml:space="preserve">四级</t>
  </si>
  <si>
    <r>
      <rPr>
        <sz val="10"/>
        <rFont val="WenQuanYi Zen Hei"/>
        <family val="2"/>
      </rPr>
      <t xml:space="preserve">第三方专业数据库 </t>
    </r>
    <r>
      <rPr>
        <sz val="10"/>
        <rFont val="Arial"/>
        <family val="0"/>
        <charset val="1"/>
      </rPr>
      <t xml:space="preserve">alta.ru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tks.ru</t>
    </r>
    <r>
      <rPr>
        <sz val="10"/>
        <rFont val="WenQuanYi Zen Hei"/>
        <family val="2"/>
      </rPr>
      <t xml:space="preserve">（俄罗斯报关行业常用的 </t>
    </r>
    <r>
      <rPr>
        <sz val="10"/>
        <rFont val="Arial"/>
        <family val="0"/>
        <charset val="1"/>
      </rPr>
      <t xml:space="preserve">ЕТТ </t>
    </r>
    <r>
      <rPr>
        <sz val="10"/>
        <rFont val="WenQuanYi Zen Hei"/>
        <family val="2"/>
      </rPr>
      <t xml:space="preserve">数据库）；第三方研究（</t>
    </r>
    <r>
      <rPr>
        <sz val="10"/>
        <rFont val="Arial"/>
        <family val="0"/>
        <charset val="1"/>
      </rPr>
      <t xml:space="preserve">BTI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Lexology </t>
    </r>
    <r>
      <rPr>
        <sz val="10"/>
        <rFont val="WenQuanYi Zen Hei"/>
        <family val="2"/>
      </rPr>
      <t xml:space="preserve">等）</t>
    </r>
  </si>
  <si>
    <r>
      <rPr>
        <sz val="10"/>
        <rFont val="WenQuanYi Zen Hei"/>
        <family val="2"/>
      </rPr>
      <t xml:space="preserve">只用于单个 </t>
    </r>
    <r>
      <rPr>
        <sz val="10"/>
        <rFont val="Arial"/>
        <family val="0"/>
        <charset val="1"/>
      </rPr>
      <t xml:space="preserve">HS </t>
    </r>
    <r>
      <rPr>
        <sz val="10"/>
        <rFont val="WenQuanYi Zen Hei"/>
        <family val="2"/>
      </rPr>
      <t xml:space="preserve">编码税率样例（白俄官方税则以交互式计算器形式提供，搜索引擎无法检索），以及背景佐证</t>
    </r>
  </si>
  <si>
    <t xml:space="preserve">四、数据获取与核验方法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</si>
  <si>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网络限制：本次运行环境的出口网络策略拦截了全部目标网站（</t>
    </r>
    <r>
      <rPr>
        <sz val="10"/>
        <rFont val="Arial"/>
        <family val="0"/>
        <charset val="1"/>
      </rPr>
      <t xml:space="preserve">mfa.gov.by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customs.gov.by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nalog.gov.by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pravo.by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belta.by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wto.org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eaeunion.org </t>
    </r>
    <r>
      <rPr>
        <sz val="10"/>
        <rFont val="WenQuanYi Zen Hei"/>
        <family val="2"/>
      </rPr>
      <t xml:space="preserve">等，均返回 </t>
    </r>
    <r>
      <rPr>
        <sz val="10"/>
        <rFont val="Arial"/>
        <family val="0"/>
        <charset val="1"/>
      </rPr>
      <t xml:space="preserve">403</t>
    </r>
    <r>
      <rPr>
        <sz val="10"/>
        <rFont val="WenQuanYi Zen Hei"/>
        <family val="2"/>
      </rPr>
      <t xml:space="preserve">）。因此所有数据均通过搜索引擎检索（多数检索用 </t>
    </r>
    <r>
      <rPr>
        <sz val="10"/>
        <rFont val="Arial"/>
        <family val="0"/>
        <charset val="1"/>
      </rPr>
      <t xml:space="preserve">allowed_domains </t>
    </r>
    <r>
      <rPr>
        <sz val="10"/>
        <rFont val="WenQuanYi Zen Hei"/>
        <family val="2"/>
      </rPr>
      <t xml:space="preserve">限定白俄官方域名），读取搜索引擎对原网页的索引摘要，未直接打开原文。</t>
    </r>
  </si>
  <si>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检索语言：以俄文关键词为主（白俄官方网站以俄文为主），辅以英文。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</si>
  <si>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交叉核验：同一事实尽量用两个以上独立来源核对（如 </t>
    </r>
    <r>
      <rPr>
        <sz val="10"/>
        <rFont val="Arial"/>
        <family val="0"/>
        <charset val="1"/>
      </rPr>
      <t xml:space="preserve">pravo.by </t>
    </r>
    <r>
      <rPr>
        <sz val="10"/>
        <rFont val="WenQuanYi Zen Hei"/>
        <family val="2"/>
      </rPr>
      <t xml:space="preserve">与 </t>
    </r>
    <r>
      <rPr>
        <sz val="10"/>
        <rFont val="Arial"/>
        <family val="0"/>
        <charset val="1"/>
      </rPr>
      <t xml:space="preserve">BelTA </t>
    </r>
    <r>
      <rPr>
        <sz val="10"/>
        <rFont val="WenQuanYi Zen Hei"/>
        <family val="2"/>
      </rPr>
      <t xml:space="preserve">同时报道、</t>
    </r>
    <r>
      <rPr>
        <sz val="10"/>
        <rFont val="Arial"/>
        <family val="0"/>
        <charset val="1"/>
      </rPr>
      <t xml:space="preserve">ГТК </t>
    </r>
    <r>
      <rPr>
        <sz val="10"/>
        <rFont val="WenQuanYi Zen Hei"/>
        <family val="2"/>
      </rPr>
      <t xml:space="preserve">与外交部页面一致）；数字不一致时同时列出并标注（如卷烟消费税上调 </t>
    </r>
    <r>
      <rPr>
        <sz val="10"/>
        <rFont val="Arial"/>
        <family val="0"/>
        <charset val="1"/>
      </rPr>
      <t xml:space="preserve">11.9% </t>
    </r>
    <r>
      <rPr>
        <sz val="10"/>
        <rFont val="WenQuanYi Zen Hei"/>
        <family val="2"/>
      </rPr>
      <t xml:space="preserve">与 </t>
    </r>
    <r>
      <rPr>
        <sz val="10"/>
        <rFont val="Arial"/>
        <family val="0"/>
        <charset val="1"/>
      </rPr>
      <t xml:space="preserve">12%</t>
    </r>
    <r>
      <rPr>
        <sz val="10"/>
        <rFont val="WenQuanYi Zen Hei"/>
        <family val="2"/>
      </rPr>
      <t xml:space="preserve">）。</t>
    </r>
  </si>
  <si>
    <r>
      <rPr>
        <sz val="10"/>
        <rFont val="Arial"/>
        <family val="0"/>
        <charset val="1"/>
      </rPr>
      <t xml:space="preserve">4. </t>
    </r>
    <r>
      <rPr>
        <sz val="10"/>
        <rFont val="WenQuanYi Zen Hei"/>
        <family val="2"/>
      </rPr>
      <t xml:space="preserve">时效核验：优先采用 </t>
    </r>
    <r>
      <rPr>
        <sz val="10"/>
        <rFont val="Arial"/>
        <family val="0"/>
        <charset val="1"/>
      </rPr>
      <t xml:space="preserve">2025–2026 </t>
    </r>
    <r>
      <rPr>
        <sz val="10"/>
        <rFont val="WenQuanYi Zen Hei"/>
        <family val="2"/>
      </rPr>
      <t xml:space="preserve">年发布的内容；早年政策只作为背景或时间线。对按月调整的出口关税，列出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年各次调整并注明最新已知值。</t>
    </r>
  </si>
  <si>
    <r>
      <rPr>
        <sz val="10"/>
        <rFont val="Arial"/>
        <family val="0"/>
        <charset val="1"/>
      </rPr>
      <t xml:space="preserve">5. </t>
    </r>
    <r>
      <rPr>
        <sz val="10"/>
        <rFont val="WenQuanYi Zen Hei"/>
        <family val="2"/>
      </rPr>
      <t xml:space="preserve">可信度评级：见“封面与结论”第四部分；每条数据行末均标注“高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中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低”。</t>
    </r>
  </si>
  <si>
    <t xml:space="preserve">五、局限性与后续建议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</si>
  <si>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未直接访问原文，摘要可能遗漏条件、例外或复合税率的一部分，因此复合税率商品标为“低”。</t>
    </r>
  </si>
  <si>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单个 </t>
    </r>
    <r>
      <rPr>
        <sz val="10"/>
        <rFont val="Arial"/>
        <family val="0"/>
        <charset val="1"/>
      </rPr>
      <t xml:space="preserve">HS </t>
    </r>
    <r>
      <rPr>
        <sz val="10"/>
        <rFont val="WenQuanYi Zen Hei"/>
        <family val="2"/>
      </rPr>
      <t xml:space="preserve">编码税率来自俄方数据库的摘要。白俄与俄罗斯适用同一税则，但报关前务必用 </t>
    </r>
    <r>
      <rPr>
        <sz val="10"/>
        <rFont val="Arial"/>
        <family val="0"/>
        <charset val="1"/>
      </rPr>
      <t xml:space="preserve">ГТК </t>
    </r>
    <r>
      <rPr>
        <sz val="10"/>
        <rFont val="WenQuanYi Zen Hei"/>
        <family val="2"/>
      </rPr>
      <t xml:space="preserve">税则查询或计算器（</t>
    </r>
    <r>
      <rPr>
        <sz val="10"/>
        <rFont val="Arial"/>
        <family val="0"/>
        <charset val="1"/>
      </rPr>
      <t xml:space="preserve">customs.gov.by/calc</t>
    </r>
    <r>
      <rPr>
        <sz val="10"/>
        <rFont val="WenQuanYi Zen Hei"/>
        <family val="2"/>
      </rPr>
      <t xml:space="preserve">）核实完整编码的税率、非关税措施和反倾销税。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</si>
  <si>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未能获取的原文数据：消费税的具体金额（《税法典》附件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）、海关手续费分档金额（总统令第 </t>
    </r>
    <r>
      <rPr>
        <sz val="10"/>
        <rFont val="Arial"/>
        <family val="0"/>
        <charset val="1"/>
      </rPr>
      <t xml:space="preserve">443 </t>
    </r>
    <r>
      <rPr>
        <sz val="10"/>
        <rFont val="WenQuanYi Zen Hei"/>
        <family val="2"/>
      </rPr>
      <t xml:space="preserve">号附件）、个人自用汽车的统一税率表、部分反倾销税率。</t>
    </r>
  </si>
  <si>
    <r>
      <rPr>
        <sz val="10"/>
        <rFont val="Arial"/>
        <family val="0"/>
        <charset val="1"/>
      </rPr>
      <t xml:space="preserve">4. </t>
    </r>
    <r>
      <rPr>
        <sz val="10"/>
        <rFont val="WenQuanYi Zen Hei"/>
        <family val="2"/>
      </rPr>
      <t xml:space="preserve">政策变化频繁（油品和液化气出口关税按月调整，电动车配额在年内用完），本报告数据截至 </t>
    </r>
    <r>
      <rPr>
        <sz val="10"/>
        <rFont val="Arial"/>
        <family val="0"/>
        <charset val="1"/>
      </rPr>
      <t xml:space="preserve">2026-09-30</t>
    </r>
    <r>
      <rPr>
        <sz val="10"/>
        <rFont val="WenQuanYi Zen Hei"/>
        <family val="2"/>
      </rPr>
      <t xml:space="preserve">。</t>
    </r>
  </si>
  <si>
    <r>
      <rPr>
        <sz val="10"/>
        <rFont val="Arial"/>
        <family val="0"/>
        <charset val="1"/>
      </rPr>
      <t xml:space="preserve">5. </t>
    </r>
    <r>
      <rPr>
        <sz val="10"/>
        <rFont val="WenQuanYi Zen Hei"/>
        <family val="2"/>
      </rPr>
      <t xml:space="preserve">建议：如果在云端环境设置中放开上述域名，可以直接抓取原文逐条复核，并补充完整的 </t>
    </r>
    <r>
      <rPr>
        <sz val="10"/>
        <rFont val="Arial"/>
        <family val="0"/>
        <charset val="1"/>
      </rPr>
      <t xml:space="preserve">ЕТТ </t>
    </r>
    <r>
      <rPr>
        <sz val="10"/>
        <rFont val="WenQuanYi Zen Hei"/>
        <family val="2"/>
      </rPr>
      <t xml:space="preserve">分章平均税率和消费税税额表。</t>
    </r>
  </si>
  <si>
    <t xml:space="preserve">关税体系框架：联盟层面与国家层面</t>
  </si>
  <si>
    <r>
      <rPr>
        <i val="true"/>
        <sz val="9"/>
        <color rgb="FF595959"/>
        <rFont val="WenQuanYi Zen Hei"/>
        <family val="2"/>
      </rPr>
      <t xml:space="preserve">白俄的关税调节分两级：关税税率、原产地、贸易救济在 </t>
    </r>
    <r>
      <rPr>
        <i val="true"/>
        <sz val="9"/>
        <color rgb="FF595959"/>
        <rFont val="Arial"/>
        <family val="0"/>
        <charset val="1"/>
      </rPr>
      <t xml:space="preserve">EAEU </t>
    </r>
    <r>
      <rPr>
        <i val="true"/>
        <sz val="9"/>
        <color rgb="FF595959"/>
        <rFont val="WenQuanYi Zen Hei"/>
        <family val="2"/>
      </rPr>
      <t xml:space="preserve">层面统一；国内税、收费和禁限措施由白俄自行决定</t>
    </r>
  </si>
  <si>
    <r>
      <rPr>
        <b val="true"/>
        <sz val="10"/>
        <color rgb="FFFFFFFF"/>
        <rFont val="WenQuanYi Zen Hei"/>
        <family val="2"/>
      </rPr>
      <t xml:space="preserve">法律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制度文件</t>
    </r>
  </si>
  <si>
    <t xml:space="preserve">主要内容</t>
  </si>
  <si>
    <r>
      <rPr>
        <b val="true"/>
        <sz val="10"/>
        <color rgb="FFFFFFFF"/>
        <rFont val="WenQuanYi Zen Hei"/>
        <family val="2"/>
      </rPr>
      <t xml:space="preserve">主管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执行机构</t>
    </r>
  </si>
  <si>
    <t xml:space="preserve">对进口商的含义</t>
  </si>
  <si>
    <t xml:space="preserve">联盟</t>
  </si>
  <si>
    <r>
      <rPr>
        <sz val="10"/>
        <rFont val="WenQuanYi Zen Hei"/>
        <family val="2"/>
      </rPr>
      <t xml:space="preserve">《欧亚经济联盟条约》（</t>
    </r>
    <r>
      <rPr>
        <sz val="10"/>
        <rFont val="Arial"/>
        <family val="0"/>
        <charset val="1"/>
      </rPr>
      <t xml:space="preserve">2014-05-29 </t>
    </r>
    <r>
      <rPr>
        <sz val="10"/>
        <rFont val="WenQuanYi Zen Hei"/>
        <family val="2"/>
      </rPr>
      <t xml:space="preserve">签署，</t>
    </r>
    <r>
      <rPr>
        <sz val="10"/>
        <rFont val="Arial"/>
        <family val="0"/>
        <charset val="1"/>
      </rPr>
      <t xml:space="preserve">2015-01-01 </t>
    </r>
    <r>
      <rPr>
        <sz val="10"/>
        <rFont val="WenQuanYi Zen Hei"/>
        <family val="2"/>
      </rPr>
      <t xml:space="preserve">生效）</t>
    </r>
  </si>
  <si>
    <t xml:space="preserve">建立关税同盟和统一市场；统一关税税则、非关税调节和贸易救济；成员国为白俄、俄、哈、亚、吉</t>
  </si>
  <si>
    <r>
      <rPr>
        <sz val="10"/>
        <rFont val="Arial"/>
        <family val="0"/>
        <charset val="1"/>
      </rPr>
      <t xml:space="preserve">EEC </t>
    </r>
    <r>
      <rPr>
        <sz val="10"/>
        <rFont val="WenQuanYi Zen Hei"/>
        <family val="2"/>
      </rPr>
      <t xml:space="preserve">理事会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委员会</t>
    </r>
  </si>
  <si>
    <t xml:space="preserve">成员国之间的货物免关税、无海关边境；第三国商品统一税率</t>
  </si>
  <si>
    <t xml:space="preserve">S029, S008</t>
  </si>
  <si>
    <r>
      <rPr>
        <sz val="10"/>
        <rFont val="WenQuanYi Zen Hei"/>
        <family val="2"/>
      </rPr>
      <t xml:space="preserve">《</t>
    </r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海关法典》（</t>
    </r>
    <r>
      <rPr>
        <sz val="10"/>
        <rFont val="Arial"/>
        <family val="0"/>
        <charset val="1"/>
      </rPr>
      <t xml:space="preserve">2018-01-01 </t>
    </r>
    <r>
      <rPr>
        <sz val="10"/>
        <rFont val="WenQuanYi Zen Hei"/>
        <family val="2"/>
      </rPr>
      <t xml:space="preserve">起施行）</t>
    </r>
  </si>
  <si>
    <t xml:space="preserve">海关程序、完税价格、原产地、海关支付规则</t>
  </si>
  <si>
    <r>
      <rPr>
        <sz val="10"/>
        <rFont val="Arial"/>
        <family val="0"/>
        <charset val="1"/>
      </rPr>
      <t xml:space="preserve">EEC</t>
    </r>
    <r>
      <rPr>
        <sz val="10"/>
        <rFont val="WenQuanYi Zen Hei"/>
        <family val="2"/>
      </rPr>
      <t xml:space="preserve">；各国海关</t>
    </r>
  </si>
  <si>
    <r>
      <rPr>
        <sz val="10"/>
        <rFont val="WenQuanYi Zen Hei"/>
        <family val="2"/>
      </rPr>
      <t xml:space="preserve">五国报关规则统一；</t>
    </r>
    <r>
      <rPr>
        <sz val="10"/>
        <rFont val="Arial"/>
        <family val="0"/>
        <charset val="1"/>
      </rPr>
      <t xml:space="preserve">2027 </t>
    </r>
    <r>
      <rPr>
        <sz val="10"/>
        <rFont val="WenQuanYi Zen Hei"/>
        <family val="2"/>
      </rPr>
      <t xml:space="preserve">年起拟新增跨境电商专章</t>
    </r>
  </si>
  <si>
    <t xml:space="preserve">S030, S038</t>
  </si>
  <si>
    <r>
      <rPr>
        <sz val="10"/>
        <rFont val="WenQuanYi Zen Hei"/>
        <family val="2"/>
      </rPr>
      <t xml:space="preserve">《</t>
    </r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统一关税税则》（</t>
    </r>
    <r>
      <rPr>
        <sz val="10"/>
        <rFont val="Arial"/>
        <family val="0"/>
        <charset val="1"/>
      </rPr>
      <t xml:space="preserve">ЕТТ ЕАЭС</t>
    </r>
    <r>
      <rPr>
        <sz val="10"/>
        <rFont val="WenQuanYi Zen Hei"/>
        <family val="2"/>
      </rPr>
      <t xml:space="preserve">）和统一商品目录（</t>
    </r>
    <r>
      <rPr>
        <sz val="10"/>
        <rFont val="Arial"/>
        <family val="0"/>
        <charset val="1"/>
      </rPr>
      <t xml:space="preserve">ТН ВЭД ЕАЭС</t>
    </r>
    <r>
      <rPr>
        <sz val="10"/>
        <rFont val="WenQuanYi Zen Hei"/>
        <family val="2"/>
      </rPr>
      <t xml:space="preserve">）</t>
    </r>
  </si>
  <si>
    <t xml:space="preserve">税率分从价、从量、复合三种；国内产量不足的农产品可设关税配额，配额内外税率不同</t>
  </si>
  <si>
    <r>
      <rPr>
        <sz val="10"/>
        <rFont val="Arial"/>
        <family val="0"/>
        <charset val="1"/>
      </rPr>
      <t xml:space="preserve">EEC </t>
    </r>
    <r>
      <rPr>
        <sz val="10"/>
        <rFont val="WenQuanYi Zen Hei"/>
        <family val="2"/>
      </rPr>
      <t xml:space="preserve">委员会</t>
    </r>
  </si>
  <si>
    <r>
      <rPr>
        <sz val="10"/>
        <rFont val="WenQuanYi Zen Hei"/>
        <family val="2"/>
      </rPr>
      <t xml:space="preserve">从第三国（含中国）进口按 </t>
    </r>
    <r>
      <rPr>
        <sz val="10"/>
        <rFont val="Arial"/>
        <family val="0"/>
        <charset val="1"/>
      </rPr>
      <t xml:space="preserve">ЕТТ </t>
    </r>
    <r>
      <rPr>
        <sz val="10"/>
        <rFont val="WenQuanYi Zen Hei"/>
        <family val="2"/>
      </rPr>
      <t xml:space="preserve">征税</t>
    </r>
  </si>
  <si>
    <t xml:space="preserve">S001, S010, S011, S028</t>
  </si>
  <si>
    <r>
      <rPr>
        <sz val="10"/>
        <rFont val="WenQuanYi Zen Hei"/>
        <family val="2"/>
      </rPr>
      <t xml:space="preserve">统一关税优惠体系（</t>
    </r>
    <r>
      <rPr>
        <sz val="10"/>
        <rFont val="Arial"/>
        <family val="0"/>
        <charset val="1"/>
      </rPr>
      <t xml:space="preserve">ЕСТП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</si>
  <si>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发展中国家原产的优惠清单商品按 </t>
    </r>
    <r>
      <rPr>
        <sz val="10"/>
        <rFont val="Arial"/>
        <family val="0"/>
        <charset val="1"/>
      </rPr>
      <t xml:space="preserve">ЕТТ </t>
    </r>
    <r>
      <rPr>
        <sz val="10"/>
        <rFont val="WenQuanYi Zen Hei"/>
        <family val="2"/>
      </rPr>
      <t xml:space="preserve">税率的 </t>
    </r>
    <r>
      <rPr>
        <sz val="10"/>
        <rFont val="Arial"/>
        <family val="0"/>
        <charset val="1"/>
      </rPr>
      <t xml:space="preserve">75% </t>
    </r>
    <r>
      <rPr>
        <sz val="10"/>
        <rFont val="WenQuanYi Zen Hei"/>
        <family val="2"/>
      </rPr>
      <t xml:space="preserve">征收；最不发达国家为 </t>
    </r>
    <r>
      <rPr>
        <sz val="10"/>
        <rFont val="Arial"/>
        <family val="0"/>
        <charset val="1"/>
      </rPr>
      <t xml:space="preserve">0%</t>
    </r>
  </si>
  <si>
    <r>
      <rPr>
        <sz val="10"/>
        <rFont val="Arial"/>
        <family val="0"/>
        <charset val="1"/>
      </rPr>
      <t xml:space="preserve">EEC </t>
    </r>
    <r>
      <rPr>
        <sz val="10"/>
        <rFont val="WenQuanYi Zen Hei"/>
        <family val="2"/>
      </rPr>
      <t xml:space="preserve">理事会</t>
    </r>
  </si>
  <si>
    <t xml:space="preserve">需提交原产地证明；中国不在受惠国名单内</t>
  </si>
  <si>
    <t xml:space="preserve">S005, S070</t>
  </si>
  <si>
    <t xml:space="preserve">贸易救济（反倾销、反补贴、保障措施）</t>
  </si>
  <si>
    <r>
      <rPr>
        <sz val="10"/>
        <rFont val="Arial"/>
        <family val="0"/>
        <charset val="1"/>
      </rPr>
      <t xml:space="preserve">EEC </t>
    </r>
    <r>
      <rPr>
        <sz val="10"/>
        <rFont val="WenQuanYi Zen Hei"/>
        <family val="2"/>
      </rPr>
      <t xml:space="preserve">内部市场保护司调查，委员会决定征税</t>
    </r>
  </si>
  <si>
    <t xml:space="preserve">EEC</t>
  </si>
  <si>
    <t xml:space="preserve">针对特定国家或企业的附加税率</t>
  </si>
  <si>
    <t xml:space="preserve">S093, S095</t>
  </si>
  <si>
    <t xml:space="preserve">国家</t>
  </si>
  <si>
    <r>
      <rPr>
        <sz val="10"/>
        <rFont val="WenQuanYi Zen Hei"/>
        <family val="2"/>
      </rPr>
      <t xml:space="preserve">《白俄罗斯共和国海关调节法》（</t>
    </r>
    <r>
      <rPr>
        <sz val="10"/>
        <rFont val="Arial"/>
        <family val="0"/>
        <charset val="1"/>
      </rPr>
      <t xml:space="preserve">2014-01-10 </t>
    </r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129-З </t>
    </r>
    <r>
      <rPr>
        <sz val="10"/>
        <rFont val="WenQuanYi Zen Hei"/>
        <family val="2"/>
      </rPr>
      <t xml:space="preserve">号）</t>
    </r>
  </si>
  <si>
    <t xml:space="preserve">国内海关管理、海关手续费等执行规则</t>
  </si>
  <si>
    <r>
      <rPr>
        <sz val="10"/>
        <rFont val="WenQuanYi Zen Hei"/>
        <family val="2"/>
      </rPr>
      <t xml:space="preserve">国家海关委员会（</t>
    </r>
    <r>
      <rPr>
        <sz val="10"/>
        <rFont val="Arial"/>
        <family val="0"/>
        <charset val="1"/>
      </rPr>
      <t xml:space="preserve">ГТК</t>
    </r>
    <r>
      <rPr>
        <sz val="10"/>
        <rFont val="WenQuanYi Zen Hei"/>
        <family val="2"/>
      </rPr>
      <t xml:space="preserve">）</t>
    </r>
  </si>
  <si>
    <t xml:space="preserve">报关实务规则</t>
  </si>
  <si>
    <t xml:space="preserve">S014, S013</t>
  </si>
  <si>
    <r>
      <rPr>
        <sz val="10"/>
        <rFont val="WenQuanYi Zen Hei"/>
        <family val="2"/>
      </rPr>
      <t xml:space="preserve">《税法典》第 </t>
    </r>
    <r>
      <rPr>
        <sz val="10"/>
        <rFont val="Arial"/>
        <family val="0"/>
        <charset val="1"/>
      </rPr>
      <t xml:space="preserve">14 </t>
    </r>
    <r>
      <rPr>
        <sz val="10"/>
        <rFont val="WenQuanYi Zen Hei"/>
        <family val="2"/>
      </rPr>
      <t xml:space="preserve">章（增值税）、第 </t>
    </r>
    <r>
      <rPr>
        <sz val="10"/>
        <rFont val="Arial"/>
        <family val="0"/>
        <charset val="1"/>
      </rPr>
      <t xml:space="preserve">15 </t>
    </r>
    <r>
      <rPr>
        <sz val="10"/>
        <rFont val="WenQuanYi Zen Hei"/>
        <family val="2"/>
      </rPr>
      <t xml:space="preserve">章（消费税）</t>
    </r>
  </si>
  <si>
    <t xml:space="preserve">进口增值税和消费税的税率、税基、减免</t>
  </si>
  <si>
    <r>
      <rPr>
        <sz val="10"/>
        <rFont val="WenQuanYi Zen Hei"/>
        <family val="2"/>
      </rPr>
      <t xml:space="preserve">税务部（</t>
    </r>
    <r>
      <rPr>
        <sz val="10"/>
        <rFont val="Arial"/>
        <family val="0"/>
        <charset val="1"/>
      </rPr>
      <t xml:space="preserve">МНС</t>
    </r>
    <r>
      <rPr>
        <sz val="10"/>
        <rFont val="WenQuanYi Zen Hei"/>
        <family val="2"/>
      </rPr>
      <t xml:space="preserve">）、财政部；自第三国进口时由海关代征</t>
    </r>
  </si>
  <si>
    <t xml:space="preserve">进口环节的主要税负</t>
  </si>
  <si>
    <t xml:space="preserve">S026, S027</t>
  </si>
  <si>
    <r>
      <rPr>
        <sz val="10"/>
        <rFont val="WenQuanYi Zen Hei"/>
        <family val="2"/>
      </rPr>
      <t xml:space="preserve">总统令 </t>
    </r>
    <r>
      <rPr>
        <sz val="10"/>
        <rFont val="Arial"/>
        <family val="0"/>
        <charset val="1"/>
      </rPr>
      <t xml:space="preserve">2006-07-13 </t>
    </r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443 </t>
    </r>
    <r>
      <rPr>
        <sz val="10"/>
        <rFont val="WenQuanYi Zen Hei"/>
        <family val="2"/>
      </rPr>
      <t xml:space="preserve">号《关于海关手续费》</t>
    </r>
  </si>
  <si>
    <t xml:space="preserve">海关手续费费率由总统确定</t>
  </si>
  <si>
    <r>
      <rPr>
        <sz val="10"/>
        <rFont val="WenQuanYi Zen Hei"/>
        <family val="2"/>
      </rPr>
      <t xml:space="preserve">总统；</t>
    </r>
    <r>
      <rPr>
        <sz val="10"/>
        <rFont val="Arial"/>
        <family val="0"/>
        <charset val="1"/>
      </rPr>
      <t xml:space="preserve">ГТК </t>
    </r>
    <r>
      <rPr>
        <sz val="10"/>
        <rFont val="WenQuanYi Zen Hei"/>
        <family val="2"/>
      </rPr>
      <t xml:space="preserve">执行</t>
    </r>
  </si>
  <si>
    <t xml:space="preserve">报关环节的固定费用</t>
  </si>
  <si>
    <t xml:space="preserve">S031, S013</t>
  </si>
  <si>
    <r>
      <rPr>
        <sz val="10"/>
        <rFont val="WenQuanYi Zen Hei"/>
        <family val="2"/>
      </rPr>
      <t xml:space="preserve">出口关税：第 </t>
    </r>
    <r>
      <rPr>
        <sz val="10"/>
        <rFont val="Arial"/>
        <family val="0"/>
        <charset val="1"/>
      </rPr>
      <t xml:space="preserve">716 </t>
    </r>
    <r>
      <rPr>
        <sz val="10"/>
        <rFont val="WenQuanYi Zen Hei"/>
        <family val="2"/>
      </rPr>
      <t xml:space="preserve">号文件、部长会议 </t>
    </r>
    <r>
      <rPr>
        <sz val="10"/>
        <rFont val="Arial"/>
        <family val="0"/>
        <charset val="1"/>
      </rPr>
      <t xml:space="preserve">2010-12-31 </t>
    </r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1932 </t>
    </r>
    <r>
      <rPr>
        <sz val="10"/>
        <rFont val="WenQuanYi Zen Hei"/>
        <family val="2"/>
      </rPr>
      <t xml:space="preserve">号决议、</t>
    </r>
    <r>
      <rPr>
        <sz val="10"/>
        <rFont val="Arial"/>
        <family val="0"/>
        <charset val="1"/>
      </rPr>
      <t xml:space="preserve">2024-12-24 </t>
    </r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1009 </t>
    </r>
    <r>
      <rPr>
        <sz val="10"/>
        <rFont val="WenQuanYi Zen Hei"/>
        <family val="2"/>
      </rPr>
      <t xml:space="preserve">号决议</t>
    </r>
  </si>
  <si>
    <t xml:space="preserve">原油及部分油品出口关税，税率与俄罗斯相同并同步生效</t>
  </si>
  <si>
    <t xml:space="preserve">部长会议</t>
  </si>
  <si>
    <t xml:space="preserve">出口成本；原料价格</t>
  </si>
  <si>
    <t xml:space="preserve">S006, S012, S032</t>
  </si>
  <si>
    <r>
      <rPr>
        <sz val="10"/>
        <rFont val="WenQuanYi Zen Hei"/>
        <family val="2"/>
      </rPr>
      <t xml:space="preserve">部长会议 </t>
    </r>
    <r>
      <rPr>
        <sz val="10"/>
        <rFont val="Arial"/>
        <family val="0"/>
        <charset val="1"/>
      </rPr>
      <t xml:space="preserve">2026-04-23 </t>
    </r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195 </t>
    </r>
    <r>
      <rPr>
        <sz val="10"/>
        <rFont val="WenQuanYi Zen Hei"/>
        <family val="2"/>
      </rPr>
      <t xml:space="preserve">号决议《关于报废》</t>
    </r>
  </si>
  <si>
    <t xml:space="preserve">车辆、自走式机械、挂车的报废税</t>
  </si>
  <si>
    <r>
      <rPr>
        <sz val="10"/>
        <rFont val="WenQuanYi Zen Hei"/>
        <family val="2"/>
      </rPr>
      <t xml:space="preserve">部长会议；</t>
    </r>
    <r>
      <rPr>
        <sz val="10"/>
        <rFont val="Arial"/>
        <family val="0"/>
        <charset val="1"/>
      </rPr>
      <t xml:space="preserve">ГТК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МНС </t>
    </r>
    <r>
      <rPr>
        <sz val="10"/>
        <rFont val="WenQuanYi Zen Hei"/>
        <family val="2"/>
      </rPr>
      <t xml:space="preserve">征收</t>
    </r>
  </si>
  <si>
    <t xml:space="preserve">汽车和工程机械进口成本</t>
  </si>
  <si>
    <t xml:space="preserve">S043, S019</t>
  </si>
  <si>
    <t xml:space="preserve">部长会议《关于实施特别限制措施》决议</t>
  </si>
  <si>
    <t xml:space="preserve">禁止“不友好国家”部分商品进口和销售</t>
  </si>
  <si>
    <t xml:space="preserve">部长会议；反垄断与贸易部等</t>
  </si>
  <si>
    <t xml:space="preserve">原产地风险</t>
  </si>
  <si>
    <t xml:space="preserve">S050, S079</t>
  </si>
  <si>
    <r>
      <rPr>
        <sz val="10"/>
        <rFont val="WenQuanYi Zen Hei"/>
        <family val="2"/>
      </rPr>
      <t xml:space="preserve">中白工业园“巨石”特殊法律制度（总统令 </t>
    </r>
    <r>
      <rPr>
        <sz val="10"/>
        <rFont val="Arial"/>
        <family val="0"/>
        <charset val="1"/>
      </rPr>
      <t xml:space="preserve">2017-05-12 </t>
    </r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166 </t>
    </r>
    <r>
      <rPr>
        <sz val="10"/>
        <rFont val="WenQuanYi Zen Hei"/>
        <family val="2"/>
      </rPr>
      <t xml:space="preserve">号）</t>
    </r>
  </si>
  <si>
    <t xml:space="preserve">入驻企业为投资项目进口设备、配件、原材料，免进口关税和增值税等</t>
  </si>
  <si>
    <t xml:space="preserve">园区管委会</t>
  </si>
  <si>
    <t xml:space="preserve">投资型进口的主要减免渠道</t>
  </si>
  <si>
    <t xml:space="preserve">S065, S105</t>
  </si>
  <si>
    <t xml:space="preserve">关税调整申请机制</t>
  </si>
  <si>
    <r>
      <rPr>
        <sz val="10"/>
        <rFont val="WenQuanYi Zen Hei"/>
        <family val="2"/>
      </rPr>
      <t xml:space="preserve">本国企业可通过外交部申请提高或调整 </t>
    </r>
    <r>
      <rPr>
        <sz val="10"/>
        <rFont val="Arial"/>
        <family val="0"/>
        <charset val="1"/>
      </rPr>
      <t xml:space="preserve">ЕТТ </t>
    </r>
    <r>
      <rPr>
        <sz val="10"/>
        <rFont val="WenQuanYi Zen Hei"/>
        <family val="2"/>
      </rPr>
      <t xml:space="preserve">税率，由 </t>
    </r>
    <r>
      <rPr>
        <sz val="10"/>
        <rFont val="Arial"/>
        <family val="0"/>
        <charset val="1"/>
      </rPr>
      <t xml:space="preserve">EEC </t>
    </r>
    <r>
      <rPr>
        <sz val="10"/>
        <rFont val="WenQuanYi Zen Hei"/>
        <family val="2"/>
      </rPr>
      <t xml:space="preserve">审议</t>
    </r>
  </si>
  <si>
    <t xml:space="preserve">外交部</t>
  </si>
  <si>
    <t xml:space="preserve">企业可以影响税率走向</t>
  </si>
  <si>
    <t xml:space="preserve">S003, S004</t>
  </si>
  <si>
    <t xml:space="preserve">国际</t>
  </si>
  <si>
    <t xml:space="preserve">WTO</t>
  </si>
  <si>
    <r>
      <rPr>
        <sz val="10"/>
        <rFont val="WenQuanYi Zen Hei"/>
        <family val="2"/>
      </rPr>
      <t xml:space="preserve">白俄不是 </t>
    </r>
    <r>
      <rPr>
        <sz val="10"/>
        <rFont val="Arial"/>
        <family val="0"/>
        <charset val="1"/>
      </rPr>
      <t xml:space="preserve">WTO </t>
    </r>
    <r>
      <rPr>
        <sz val="10"/>
        <rFont val="WenQuanYi Zen Hei"/>
        <family val="2"/>
      </rPr>
      <t xml:space="preserve">成员：</t>
    </r>
    <r>
      <rPr>
        <sz val="10"/>
        <rFont val="Arial"/>
        <family val="0"/>
        <charset val="1"/>
      </rPr>
      <t xml:space="preserve">1993 </t>
    </r>
    <r>
      <rPr>
        <sz val="10"/>
        <rFont val="WenQuanYi Zen Hei"/>
        <family val="2"/>
      </rPr>
      <t xml:space="preserve">年提出申请；</t>
    </r>
    <r>
      <rPr>
        <sz val="10"/>
        <rFont val="Arial"/>
        <family val="0"/>
        <charset val="1"/>
      </rPr>
      <t xml:space="preserve">2022-03 </t>
    </r>
    <r>
      <rPr>
        <sz val="10"/>
        <rFont val="WenQuanYi Zen Hei"/>
        <family val="2"/>
      </rPr>
      <t xml:space="preserve">部分成员发表联合声明暂停审议；白俄 </t>
    </r>
    <r>
      <rPr>
        <sz val="10"/>
        <rFont val="Arial"/>
        <family val="0"/>
        <charset val="1"/>
      </rPr>
      <t xml:space="preserve">2024 </t>
    </r>
    <r>
      <rPr>
        <sz val="10"/>
        <rFont val="WenQuanYi Zen Hei"/>
        <family val="2"/>
      </rPr>
      <t xml:space="preserve">年仍参加入世国家非正式小组部长会议，并呼吁改革入世程序</t>
    </r>
  </si>
  <si>
    <t xml:space="preserve">—</t>
  </si>
  <si>
    <r>
      <rPr>
        <sz val="10"/>
        <rFont val="WenQuanYi Zen Hei"/>
        <family val="2"/>
      </rPr>
      <t xml:space="preserve">没有 </t>
    </r>
    <r>
      <rPr>
        <sz val="10"/>
        <rFont val="Arial"/>
        <family val="0"/>
        <charset val="1"/>
      </rPr>
      <t xml:space="preserve">WTO </t>
    </r>
    <r>
      <rPr>
        <sz val="10"/>
        <rFont val="WenQuanYi Zen Hei"/>
        <family val="2"/>
      </rPr>
      <t xml:space="preserve">争端解决保障；</t>
    </r>
    <r>
      <rPr>
        <sz val="10"/>
        <rFont val="Arial"/>
        <family val="0"/>
        <charset val="1"/>
      </rPr>
      <t xml:space="preserve">ЕТТ </t>
    </r>
    <r>
      <rPr>
        <sz val="10"/>
        <rFont val="WenQuanYi Zen Hei"/>
        <family val="2"/>
      </rPr>
      <t xml:space="preserve">仍受俄、哈、亚、吉的入世承诺约束</t>
    </r>
  </si>
  <si>
    <t xml:space="preserve">S009, S108, S109, S115, S116</t>
  </si>
  <si>
    <t xml:space="preserve">进口环节税费构成</t>
  </si>
  <si>
    <t xml:space="preserve">进口一批货物时，通常需要缴纳下表中的若干项；完整计算见“税费测算器”</t>
  </si>
  <si>
    <t xml:space="preserve">税费项目</t>
  </si>
  <si>
    <t xml:space="preserve">适用对象</t>
  </si>
  <si>
    <r>
      <rPr>
        <b val="true"/>
        <sz val="10"/>
        <color rgb="FFFFFFFF"/>
        <rFont val="WenQuanYi Zen Hei"/>
        <family val="2"/>
      </rPr>
      <t xml:space="preserve">税率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金额</t>
    </r>
  </si>
  <si>
    <t xml:space="preserve">计税依据</t>
  </si>
  <si>
    <t xml:space="preserve">征收机关</t>
  </si>
  <si>
    <r>
      <rPr>
        <b val="true"/>
        <sz val="10"/>
        <color rgb="FFFFFFFF"/>
        <rFont val="Arial"/>
        <family val="0"/>
        <charset val="1"/>
      </rPr>
      <t xml:space="preserve">2025–2026 </t>
    </r>
    <r>
      <rPr>
        <b val="true"/>
        <sz val="10"/>
        <color rgb="FFFFFFFF"/>
        <rFont val="WenQuanYi Zen Hei"/>
        <family val="2"/>
      </rPr>
      <t xml:space="preserve">最新变化</t>
    </r>
  </si>
  <si>
    <t xml:space="preserve">法律依据</t>
  </si>
  <si>
    <t xml:space="preserve">进口关税</t>
  </si>
  <si>
    <r>
      <rPr>
        <sz val="10"/>
        <rFont val="WenQuanYi Zen Hei"/>
        <family val="2"/>
      </rPr>
      <t xml:space="preserve">自第三国（非 </t>
    </r>
    <r>
      <rPr>
        <sz val="10"/>
        <rFont val="Arial"/>
        <family val="0"/>
        <charset val="1"/>
      </rPr>
      <t xml:space="preserve">EAEU</t>
    </r>
    <r>
      <rPr>
        <sz val="10"/>
        <rFont val="WenQuanYi Zen Hei"/>
        <family val="2"/>
      </rPr>
      <t xml:space="preserve">）进口的商品</t>
    </r>
  </si>
  <si>
    <r>
      <rPr>
        <sz val="10"/>
        <rFont val="WenQuanYi Zen Hei"/>
        <family val="2"/>
      </rPr>
      <t xml:space="preserve">按 </t>
    </r>
    <r>
      <rPr>
        <sz val="10"/>
        <rFont val="Arial"/>
        <family val="0"/>
        <charset val="1"/>
      </rPr>
      <t xml:space="preserve">ЕТТ</t>
    </r>
    <r>
      <rPr>
        <sz val="10"/>
        <rFont val="WenQuanYi Zen Hei"/>
        <family val="2"/>
      </rPr>
      <t xml:space="preserve">：从价（</t>
    </r>
    <r>
      <rPr>
        <sz val="10"/>
        <rFont val="Arial"/>
        <family val="0"/>
        <charset val="1"/>
      </rPr>
      <t xml:space="preserve">%</t>
    </r>
    <r>
      <rPr>
        <sz val="10"/>
        <rFont val="WenQuanYi Zen Hei"/>
        <family val="2"/>
      </rPr>
      <t xml:space="preserve">）、从量或复合；简单平均约 </t>
    </r>
    <r>
      <rPr>
        <sz val="10"/>
        <rFont val="Arial"/>
        <family val="0"/>
        <charset val="1"/>
      </rPr>
      <t xml:space="preserve">6.6%</t>
    </r>
  </si>
  <si>
    <t xml:space="preserve">完税价格（含运至联盟关境的运费和保险费）或数量</t>
  </si>
  <si>
    <t xml:space="preserve">海关</t>
  </si>
  <si>
    <r>
      <rPr>
        <sz val="10"/>
        <rFont val="Arial"/>
        <family val="0"/>
        <charset val="1"/>
      </rPr>
      <t xml:space="preserve">EEC </t>
    </r>
    <r>
      <rPr>
        <sz val="10"/>
        <rFont val="WenQuanYi Zen Hei"/>
        <family val="2"/>
      </rPr>
      <t xml:space="preserve">对锰矿、钛废料、铌铁、贵金属废料等设临时零税率；</t>
    </r>
    <r>
      <rPr>
        <sz val="10"/>
        <rFont val="Arial"/>
        <family val="0"/>
        <charset val="1"/>
      </rPr>
      <t xml:space="preserve">2025-09-23 EEC </t>
    </r>
    <r>
      <rPr>
        <sz val="10"/>
        <rFont val="WenQuanYi Zen Hei"/>
        <family val="2"/>
      </rPr>
      <t xml:space="preserve">委员会为电动车和混动车单列编码，税率不变</t>
    </r>
  </si>
  <si>
    <t xml:space="preserve">ЕТТ ЕАЭС</t>
  </si>
  <si>
    <t xml:space="preserve">S001, S107, S040</t>
  </si>
  <si>
    <t xml:space="preserve">增值税（标准）</t>
  </si>
  <si>
    <t xml:space="preserve">大多数商品</t>
  </si>
  <si>
    <t xml:space="preserve">20%</t>
  </si>
  <si>
    <r>
      <rPr>
        <sz val="10"/>
        <rFont val="WenQuanYi Zen Hei"/>
        <family val="2"/>
      </rPr>
      <t xml:space="preserve">完税价格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关税（含反倾销等特别关税）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消费税</t>
    </r>
  </si>
  <si>
    <r>
      <rPr>
        <sz val="10"/>
        <rFont val="WenQuanYi Zen Hei"/>
        <family val="2"/>
      </rPr>
      <t xml:space="preserve">海关（第三国进口）；税务机关（自 </t>
    </r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成员国进口）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</si>
  <si>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年起部分商品下调为 </t>
    </r>
    <r>
      <rPr>
        <sz val="10"/>
        <rFont val="Arial"/>
        <family val="0"/>
        <charset val="1"/>
      </rPr>
      <t xml:space="preserve">10%</t>
    </r>
    <r>
      <rPr>
        <sz val="10"/>
        <rFont val="WenQuanYi Zen Hei"/>
        <family val="2"/>
      </rPr>
      <t xml:space="preserve">（见下一行）</t>
    </r>
  </si>
  <si>
    <r>
      <rPr>
        <sz val="10"/>
        <rFont val="WenQuanYi Zen Hei"/>
        <family val="2"/>
      </rPr>
      <t xml:space="preserve">《税法典》第 </t>
    </r>
    <r>
      <rPr>
        <sz val="10"/>
        <rFont val="Arial"/>
        <family val="0"/>
        <charset val="1"/>
      </rPr>
      <t xml:space="preserve">14 </t>
    </r>
    <r>
      <rPr>
        <sz val="10"/>
        <rFont val="WenQuanYi Zen Hei"/>
        <family val="2"/>
      </rPr>
      <t xml:space="preserve">章</t>
    </r>
  </si>
  <si>
    <t xml:space="preserve">S026, S022</t>
  </si>
  <si>
    <t xml:space="preserve">增值税（优惠）</t>
  </si>
  <si>
    <t xml:space="preserve">《税法典》所列食品、儿童用品、种植和养殖产品等</t>
  </si>
  <si>
    <t xml:space="preserve">10%</t>
  </si>
  <si>
    <t xml:space="preserve">同上</t>
  </si>
  <si>
    <r>
      <rPr>
        <sz val="10"/>
        <rFont val="Arial"/>
        <family val="0"/>
        <charset val="1"/>
      </rPr>
      <t xml:space="preserve">2025 </t>
    </r>
    <r>
      <rPr>
        <sz val="10"/>
        <rFont val="WenQuanYi Zen Hei"/>
        <family val="2"/>
      </rPr>
      <t xml:space="preserve">年起：已注册药品所含药物原料进口 </t>
    </r>
    <r>
      <rPr>
        <sz val="10"/>
        <rFont val="Arial"/>
        <family val="0"/>
        <charset val="1"/>
      </rPr>
      <t xml:space="preserve">10%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年起：鹌鹑肉、副产品、制品和蛋 </t>
    </r>
    <r>
      <rPr>
        <sz val="10"/>
        <rFont val="Arial"/>
        <family val="0"/>
        <charset val="1"/>
      </rPr>
      <t xml:space="preserve">10%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年全年：自需海关监管国家进口的鲜苹果（</t>
    </r>
    <r>
      <rPr>
        <sz val="10"/>
        <rFont val="Arial"/>
        <family val="0"/>
        <charset val="1"/>
      </rPr>
      <t xml:space="preserve">0808 10</t>
    </r>
    <r>
      <rPr>
        <sz val="10"/>
        <rFont val="WenQuanYi Zen Hei"/>
        <family val="2"/>
      </rPr>
      <t xml:space="preserve">）</t>
    </r>
    <r>
      <rPr>
        <sz val="10"/>
        <rFont val="Arial"/>
        <family val="0"/>
        <charset val="1"/>
      </rPr>
      <t xml:space="preserve">10%</t>
    </r>
  </si>
  <si>
    <t xml:space="preserve">《税法典》及附件清单</t>
  </si>
  <si>
    <t xml:space="preserve">S022, S023</t>
  </si>
  <si>
    <t xml:space="preserve">增值税（免征）</t>
  </si>
  <si>
    <t xml:space="preserve">本国无同类产品的技术设备及配件；个人进口的电动车；巨石园区投资项目进口</t>
  </si>
  <si>
    <t xml:space="preserve">免征</t>
  </si>
  <si>
    <r>
      <rPr>
        <sz val="10"/>
        <rFont val="WenQuanYi Zen Hei"/>
        <family val="2"/>
      </rPr>
      <t xml:space="preserve">技术设备需取得白俄工商会明斯克分会出具的“无同类产品”结论；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年扩大了免税设备清单；个人进口出厂 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年以内电动车免增值税，延至 </t>
    </r>
    <r>
      <rPr>
        <sz val="10"/>
        <rFont val="Arial"/>
        <family val="0"/>
        <charset val="1"/>
      </rPr>
      <t xml:space="preserve">2028-12-31</t>
    </r>
  </si>
  <si>
    <r>
      <rPr>
        <sz val="10"/>
        <rFont val="WenQuanYi Zen Hei"/>
        <family val="2"/>
      </rPr>
      <t xml:space="preserve">总统令 </t>
    </r>
    <r>
      <rPr>
        <sz val="10"/>
        <rFont val="Arial"/>
        <family val="0"/>
        <charset val="1"/>
      </rPr>
      <t xml:space="preserve">2024-03-04 </t>
    </r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77 </t>
    </r>
    <r>
      <rPr>
        <sz val="10"/>
        <rFont val="WenQuanYi Zen Hei"/>
        <family val="2"/>
      </rPr>
      <t xml:space="preserve">号；部长会议 </t>
    </r>
    <r>
      <rPr>
        <sz val="10"/>
        <rFont val="Arial"/>
        <family val="0"/>
        <charset val="1"/>
      </rPr>
      <t xml:space="preserve">2024-06-05 </t>
    </r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408 </t>
    </r>
    <r>
      <rPr>
        <sz val="10"/>
        <rFont val="WenQuanYi Zen Hei"/>
        <family val="2"/>
      </rPr>
      <t xml:space="preserve">号决议；总统令第 </t>
    </r>
    <r>
      <rPr>
        <sz val="10"/>
        <rFont val="Arial"/>
        <family val="0"/>
        <charset val="1"/>
      </rPr>
      <t xml:space="preserve">166 </t>
    </r>
    <r>
      <rPr>
        <sz val="10"/>
        <rFont val="WenQuanYi Zen Hei"/>
        <family val="2"/>
      </rPr>
      <t xml:space="preserve">号</t>
    </r>
  </si>
  <si>
    <t xml:space="preserve">S066, S090, S075, S065</t>
  </si>
  <si>
    <t xml:space="preserve">消费税</t>
  </si>
  <si>
    <t xml:space="preserve">酒类、烟草及含尼古丁制品、车用燃料、电子烟系统、能量饮料等</t>
  </si>
  <si>
    <r>
      <rPr>
        <sz val="10"/>
        <rFont val="WenQuanYi Zen Hei"/>
        <family val="2"/>
      </rPr>
      <t xml:space="preserve">按《税法典》附件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的从量税额（</t>
    </r>
    <r>
      <rPr>
        <sz val="10"/>
        <rFont val="Arial"/>
        <family val="0"/>
        <charset val="1"/>
      </rPr>
      <t xml:space="preserve">BYN/</t>
    </r>
    <r>
      <rPr>
        <sz val="10"/>
        <rFont val="WenQuanYi Zen Hei"/>
        <family val="2"/>
      </rPr>
      <t xml:space="preserve">单位）</t>
    </r>
  </si>
  <si>
    <t xml:space="preserve">数量</t>
  </si>
  <si>
    <r>
      <rPr>
        <sz val="10"/>
        <rFont val="WenQuanYi Zen Hei"/>
        <family val="2"/>
      </rPr>
      <t xml:space="preserve">海关（进口）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税务机关</t>
    </r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</si>
  <si>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年：多数税额按预测通胀上调；有滤嘴第一价格组卷烟和无滤嘴卷烟上调 </t>
    </r>
    <r>
      <rPr>
        <sz val="10"/>
        <rFont val="Arial"/>
        <family val="0"/>
        <charset val="1"/>
      </rPr>
      <t xml:space="preserve">11.9%</t>
    </r>
    <r>
      <rPr>
        <sz val="10"/>
        <rFont val="WenQuanYi Zen Hei"/>
        <family val="2"/>
      </rPr>
      <t xml:space="preserve">（税务部口径，</t>
    </r>
    <r>
      <rPr>
        <sz val="10"/>
        <rFont val="Arial"/>
        <family val="0"/>
        <charset val="1"/>
      </rPr>
      <t xml:space="preserve">pravo.by </t>
    </r>
    <r>
      <rPr>
        <sz val="10"/>
        <rFont val="WenQuanYi Zen Hei"/>
        <family val="2"/>
      </rPr>
      <t xml:space="preserve">预告为 </t>
    </r>
    <r>
      <rPr>
        <sz val="10"/>
        <rFont val="Arial"/>
        <family val="0"/>
        <charset val="1"/>
      </rPr>
      <t xml:space="preserve">12%</t>
    </r>
    <r>
      <rPr>
        <sz val="10"/>
        <rFont val="WenQuanYi Zen Hei"/>
        <family val="2"/>
      </rPr>
      <t xml:space="preserve">）；第二价格组卷烟和其他含尼古丁制品上调 </t>
    </r>
    <r>
      <rPr>
        <sz val="10"/>
        <rFont val="Arial"/>
        <family val="0"/>
        <charset val="1"/>
      </rPr>
      <t xml:space="preserve">7%</t>
    </r>
    <r>
      <rPr>
        <sz val="10"/>
        <rFont val="WenQuanYi Zen Hei"/>
        <family val="2"/>
      </rPr>
      <t xml:space="preserve">；加热烟草上调 </t>
    </r>
    <r>
      <rPr>
        <sz val="10"/>
        <rFont val="Arial"/>
        <family val="0"/>
        <charset val="1"/>
      </rPr>
      <t xml:space="preserve">3%</t>
    </r>
    <r>
      <rPr>
        <sz val="10"/>
        <rFont val="WenQuanYi Zen Hei"/>
        <family val="2"/>
      </rPr>
      <t xml:space="preserve">；新增能量饮料 </t>
    </r>
    <r>
      <rPr>
        <sz val="10"/>
        <rFont val="Arial"/>
        <family val="0"/>
        <charset val="1"/>
      </rPr>
      <t xml:space="preserve">0.50 BYN/</t>
    </r>
    <r>
      <rPr>
        <sz val="10"/>
        <rFont val="WenQuanYi Zen Hei"/>
        <family val="2"/>
      </rPr>
      <t xml:space="preserve">升；电子烟系统纳入征税；车用燃料税额未上调</t>
    </r>
  </si>
  <si>
    <r>
      <rPr>
        <sz val="10"/>
        <rFont val="WenQuanYi Zen Hei"/>
        <family val="2"/>
      </rPr>
      <t xml:space="preserve">《税法典》第 </t>
    </r>
    <r>
      <rPr>
        <sz val="10"/>
        <rFont val="Arial"/>
        <family val="0"/>
        <charset val="1"/>
      </rPr>
      <t xml:space="preserve">15 </t>
    </r>
    <r>
      <rPr>
        <sz val="10"/>
        <rFont val="WenQuanYi Zen Hei"/>
        <family val="2"/>
      </rPr>
      <t xml:space="preserve">章、附件 </t>
    </r>
    <r>
      <rPr>
        <sz val="10"/>
        <rFont val="Arial"/>
        <family val="0"/>
        <charset val="1"/>
      </rPr>
      <t xml:space="preserve">1</t>
    </r>
  </si>
  <si>
    <t xml:space="preserve">S024, S045, S027</t>
  </si>
  <si>
    <t xml:space="preserve">海关手续费</t>
  </si>
  <si>
    <t xml:space="preserve">办理海关业务</t>
  </si>
  <si>
    <r>
      <rPr>
        <sz val="10"/>
        <rFont val="WenQuanYi Zen Hei"/>
        <family val="2"/>
      </rPr>
      <t xml:space="preserve">按总统令第 </t>
    </r>
    <r>
      <rPr>
        <sz val="10"/>
        <rFont val="Arial"/>
        <family val="0"/>
        <charset val="1"/>
      </rPr>
      <t xml:space="preserve">443 </t>
    </r>
    <r>
      <rPr>
        <sz val="10"/>
        <rFont val="WenQuanYi Zen Hei"/>
        <family val="2"/>
      </rPr>
      <t xml:space="preserve">号附件确定；摘要显示个人应税物品放行的一项费率为 </t>
    </r>
    <r>
      <rPr>
        <sz val="10"/>
        <rFont val="Arial"/>
        <family val="0"/>
        <charset val="1"/>
      </rPr>
      <t xml:space="preserve">10 BYN</t>
    </r>
  </si>
  <si>
    <t xml:space="preserve">按报关单或业务</t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</si>
  <si>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年基本单位为 </t>
    </r>
    <r>
      <rPr>
        <sz val="10"/>
        <rFont val="Arial"/>
        <family val="0"/>
        <charset val="1"/>
      </rPr>
      <t xml:space="preserve">45 BYN</t>
    </r>
    <r>
      <rPr>
        <sz val="10"/>
        <rFont val="WenQuanYi Zen Hei"/>
        <family val="2"/>
      </rPr>
      <t xml:space="preserve">（部长会议 </t>
    </r>
    <r>
      <rPr>
        <sz val="10"/>
        <rFont val="Arial"/>
        <family val="0"/>
        <charset val="1"/>
      </rPr>
      <t xml:space="preserve">2025-11-20 </t>
    </r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651 </t>
    </r>
    <r>
      <rPr>
        <sz val="10"/>
        <rFont val="WenQuanYi Zen Hei"/>
        <family val="2"/>
      </rPr>
      <t xml:space="preserve">号决议）；分档金额未能获取原文</t>
    </r>
  </si>
  <si>
    <r>
      <rPr>
        <sz val="10"/>
        <rFont val="WenQuanYi Zen Hei"/>
        <family val="2"/>
      </rPr>
      <t xml:space="preserve">总统令第 </t>
    </r>
    <r>
      <rPr>
        <sz val="10"/>
        <rFont val="Arial"/>
        <family val="0"/>
        <charset val="1"/>
      </rPr>
      <t xml:space="preserve">443 </t>
    </r>
    <r>
      <rPr>
        <sz val="10"/>
        <rFont val="WenQuanYi Zen Hei"/>
        <family val="2"/>
      </rPr>
      <t xml:space="preserve">号；《海关调节法》第二编</t>
    </r>
  </si>
  <si>
    <t xml:space="preserve">S013, S031, S025</t>
  </si>
  <si>
    <t xml:space="preserve">报废税</t>
  </si>
  <si>
    <t xml:space="preserve">车辆、自走式机械、挂车（含底盘）</t>
  </si>
  <si>
    <r>
      <rPr>
        <sz val="10"/>
        <rFont val="WenQuanYi Zen Hei"/>
        <family val="2"/>
      </rPr>
      <t xml:space="preserve">个人进口 </t>
    </r>
    <r>
      <rPr>
        <sz val="10"/>
        <rFont val="Arial"/>
        <family val="0"/>
        <charset val="1"/>
      </rPr>
      <t xml:space="preserve">M1 </t>
    </r>
    <r>
      <rPr>
        <sz val="10"/>
        <rFont val="WenQuanYi Zen Hei"/>
        <family val="2"/>
      </rPr>
      <t xml:space="preserve">类乘用车：出厂 ≤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年 </t>
    </r>
    <r>
      <rPr>
        <sz val="10"/>
        <rFont val="Arial"/>
        <family val="0"/>
        <charset val="1"/>
      </rPr>
      <t xml:space="preserve">624.92 BYN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&gt;3 </t>
    </r>
    <r>
      <rPr>
        <sz val="10"/>
        <rFont val="WenQuanYi Zen Hei"/>
        <family val="2"/>
      </rPr>
      <t xml:space="preserve">年 </t>
    </r>
    <r>
      <rPr>
        <sz val="10"/>
        <rFont val="Arial"/>
        <family val="0"/>
        <charset val="1"/>
      </rPr>
      <t xml:space="preserve">1,282.02 BYN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2026-04-29 </t>
    </r>
    <r>
      <rPr>
        <sz val="10"/>
        <rFont val="WenQuanYi Zen Hei"/>
        <family val="2"/>
      </rPr>
      <t xml:space="preserve">起）</t>
    </r>
  </si>
  <si>
    <t xml:space="preserve">每辆</t>
  </si>
  <si>
    <r>
      <rPr>
        <sz val="10"/>
        <rFont val="WenQuanYi Zen Hei"/>
        <family val="2"/>
      </rPr>
      <t xml:space="preserve">海关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税务机关</t>
    </r>
  </si>
  <si>
    <r>
      <rPr>
        <sz val="10"/>
        <rFont val="Arial"/>
        <family val="0"/>
        <charset val="1"/>
      </rPr>
      <t xml:space="preserve">2026-04-29 </t>
    </r>
    <r>
      <rPr>
        <sz val="10"/>
        <rFont val="WenQuanYi Zen Hei"/>
        <family val="2"/>
      </rPr>
      <t xml:space="preserve">起整体上调约 </t>
    </r>
    <r>
      <rPr>
        <sz val="10"/>
        <rFont val="Arial"/>
        <family val="0"/>
        <charset val="1"/>
      </rPr>
      <t xml:space="preserve">7%</t>
    </r>
    <r>
      <rPr>
        <sz val="10"/>
        <rFont val="WenQuanYi Zen Hei"/>
        <family val="2"/>
      </rPr>
      <t xml:space="preserve">，部分品目成倍提高；新增底盘税率；本国车企承担回收义务的可以免缴</t>
    </r>
  </si>
  <si>
    <r>
      <rPr>
        <sz val="10"/>
        <rFont val="WenQuanYi Zen Hei"/>
        <family val="2"/>
      </rPr>
      <t xml:space="preserve">部长会议 </t>
    </r>
    <r>
      <rPr>
        <sz val="10"/>
        <rFont val="Arial"/>
        <family val="0"/>
        <charset val="1"/>
      </rPr>
      <t xml:space="preserve">2026-04-23 </t>
    </r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195 </t>
    </r>
    <r>
      <rPr>
        <sz val="10"/>
        <rFont val="WenQuanYi Zen Hei"/>
        <family val="2"/>
      </rPr>
      <t xml:space="preserve">号决议</t>
    </r>
  </si>
  <si>
    <t xml:space="preserve">S043, S074, S019</t>
  </si>
  <si>
    <r>
      <rPr>
        <sz val="10"/>
        <rFont val="WenQuanYi Zen Hei"/>
        <family val="2"/>
      </rPr>
      <t xml:space="preserve">反倾销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反补贴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特别保障税</t>
    </r>
  </si>
  <si>
    <t xml:space="preserve">特定原产国或企业的产品</t>
  </si>
  <si>
    <t xml:space="preserve">见“贸易救济措施”</t>
  </si>
  <si>
    <t xml:space="preserve">完税价格</t>
  </si>
  <si>
    <r>
      <rPr>
        <sz val="10"/>
        <rFont val="Arial"/>
        <family val="0"/>
        <charset val="1"/>
      </rPr>
      <t xml:space="preserve">2025–2026 </t>
    </r>
    <r>
      <rPr>
        <sz val="10"/>
        <rFont val="WenQuanYi Zen Hei"/>
        <family val="2"/>
      </rPr>
      <t xml:space="preserve">年对华措施有延长也有新增</t>
    </r>
  </si>
  <si>
    <r>
      <rPr>
        <sz val="10"/>
        <rFont val="Arial"/>
        <family val="0"/>
        <charset val="1"/>
      </rPr>
      <t xml:space="preserve">EEC </t>
    </r>
    <r>
      <rPr>
        <sz val="10"/>
        <rFont val="WenQuanYi Zen Hei"/>
        <family val="2"/>
      </rPr>
      <t xml:space="preserve">决定</t>
    </r>
  </si>
  <si>
    <t xml:space="preserve">S093, S068</t>
  </si>
  <si>
    <t xml:space="preserve">个人物品统一税率</t>
  </si>
  <si>
    <t xml:space="preserve">个人携带或邮寄、超出免税额的物品</t>
  </si>
  <si>
    <r>
      <rPr>
        <sz val="10"/>
        <rFont val="WenQuanYi Zen Hei"/>
        <family val="2"/>
      </rPr>
      <t xml:space="preserve">随身行李超额部分 </t>
    </r>
    <r>
      <rPr>
        <sz val="10"/>
        <rFont val="Arial"/>
        <family val="0"/>
        <charset val="1"/>
      </rPr>
      <t xml:space="preserve">30%</t>
    </r>
    <r>
      <rPr>
        <sz val="10"/>
        <rFont val="WenQuanYi Zen Hei"/>
        <family val="2"/>
      </rPr>
      <t xml:space="preserve">（不低于 </t>
    </r>
    <r>
      <rPr>
        <sz val="10"/>
        <rFont val="Arial"/>
        <family val="0"/>
        <charset val="1"/>
      </rPr>
      <t xml:space="preserve">4 </t>
    </r>
    <r>
      <rPr>
        <sz val="10"/>
        <rFont val="WenQuanYi Zen Hei"/>
        <family val="2"/>
      </rPr>
      <t xml:space="preserve">欧元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公斤）；邮件和快递超额部分 </t>
    </r>
    <r>
      <rPr>
        <sz val="10"/>
        <rFont val="Arial"/>
        <family val="0"/>
        <charset val="1"/>
      </rPr>
      <t xml:space="preserve">15%</t>
    </r>
    <r>
      <rPr>
        <sz val="10"/>
        <rFont val="WenQuanYi Zen Hei"/>
        <family val="2"/>
      </rPr>
      <t xml:space="preserve">（不低于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欧元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公斤）</t>
    </r>
  </si>
  <si>
    <t xml:space="preserve">超额部分</t>
  </si>
  <si>
    <t xml:space="preserve">见“个人物品与跨境电商”</t>
  </si>
  <si>
    <r>
      <rPr>
        <sz val="10"/>
        <rFont val="Arial"/>
        <family val="0"/>
        <charset val="1"/>
      </rPr>
      <t xml:space="preserve">EEC </t>
    </r>
    <r>
      <rPr>
        <sz val="10"/>
        <rFont val="WenQuanYi Zen Hei"/>
        <family val="2"/>
      </rPr>
      <t xml:space="preserve">理事会决定</t>
    </r>
  </si>
  <si>
    <t xml:space="preserve">S036, S018</t>
  </si>
  <si>
    <r>
      <rPr>
        <i val="true"/>
        <sz val="9"/>
        <color rgb="FF595959"/>
        <rFont val="WenQuanYi Zen Hei"/>
        <family val="2"/>
      </rPr>
      <t xml:space="preserve">注：增值税税基包含关税和消费税，这是 </t>
    </r>
    <r>
      <rPr>
        <i val="true"/>
        <sz val="9"/>
        <color rgb="FF595959"/>
        <rFont val="Arial"/>
        <family val="0"/>
        <charset val="1"/>
      </rPr>
      <t xml:space="preserve">EAEU </t>
    </r>
    <r>
      <rPr>
        <i val="true"/>
        <sz val="9"/>
        <color rgb="FF595959"/>
        <rFont val="WenQuanYi Zen Hei"/>
        <family val="2"/>
      </rPr>
      <t xml:space="preserve">各国的通行规则；自 </t>
    </r>
    <r>
      <rPr>
        <i val="true"/>
        <sz val="9"/>
        <color rgb="FF595959"/>
        <rFont val="Arial"/>
        <family val="0"/>
        <charset val="1"/>
      </rPr>
      <t xml:space="preserve">EAEU </t>
    </r>
    <r>
      <rPr>
        <i val="true"/>
        <sz val="9"/>
        <color rgb="FF595959"/>
        <rFont val="WenQuanYi Zen Hei"/>
        <family val="2"/>
      </rPr>
      <t xml:space="preserve">成员国（如俄罗斯）进口的商品不征关税，增值税由进口方向白俄税务机关申报缴纳。</t>
    </r>
  </si>
  <si>
    <r>
      <rPr>
        <b val="true"/>
        <sz val="16"/>
        <color rgb="FF1F4E78"/>
        <rFont val="WenQuanYi Zen Hei"/>
        <family val="2"/>
      </rPr>
      <t xml:space="preserve">常见商品 </t>
    </r>
    <r>
      <rPr>
        <b val="true"/>
        <sz val="16"/>
        <color rgb="FF1F4E78"/>
        <rFont val="Arial"/>
        <family val="0"/>
        <charset val="1"/>
      </rPr>
      <t xml:space="preserve">ЕТТ </t>
    </r>
    <r>
      <rPr>
        <b val="true"/>
        <sz val="16"/>
        <color rgb="FF1F4E78"/>
        <rFont val="WenQuanYi Zen Hei"/>
        <family val="2"/>
      </rPr>
      <t xml:space="preserve">进口税率样例（对中国原产商品适用一般税率）</t>
    </r>
  </si>
  <si>
    <r>
      <rPr>
        <i val="true"/>
        <sz val="9"/>
        <color rgb="FF595959"/>
        <rFont val="WenQuanYi Zen Hei"/>
        <family val="2"/>
      </rPr>
      <t xml:space="preserve">蓝色数字为 </t>
    </r>
    <r>
      <rPr>
        <i val="true"/>
        <sz val="9"/>
        <color rgb="FF595959"/>
        <rFont val="Arial"/>
        <family val="0"/>
        <charset val="1"/>
      </rPr>
      <t xml:space="preserve">ЕТТ </t>
    </r>
    <r>
      <rPr>
        <i val="true"/>
        <sz val="9"/>
        <color rgb="FF595959"/>
        <rFont val="WenQuanYi Zen Hei"/>
        <family val="2"/>
      </rPr>
      <t xml:space="preserve">从价税率和增值税率输入值；</t>
    </r>
    <r>
      <rPr>
        <i val="true"/>
        <sz val="9"/>
        <color rgb="FF595959"/>
        <rFont val="Arial"/>
        <family val="0"/>
        <charset val="1"/>
      </rPr>
      <t xml:space="preserve">I </t>
    </r>
    <r>
      <rPr>
        <i val="true"/>
        <sz val="9"/>
        <color rgb="FF595959"/>
        <rFont val="WenQuanYi Zen Hei"/>
        <family val="2"/>
      </rPr>
      <t xml:space="preserve">列用公式计算“关税 </t>
    </r>
    <r>
      <rPr>
        <i val="true"/>
        <sz val="9"/>
        <color rgb="FF595959"/>
        <rFont val="Arial"/>
        <family val="0"/>
        <charset val="1"/>
      </rPr>
      <t xml:space="preserve">+ </t>
    </r>
    <r>
      <rPr>
        <i val="true"/>
        <sz val="9"/>
        <color rgb="FF595959"/>
        <rFont val="WenQuanYi Zen Hei"/>
        <family val="2"/>
      </rPr>
      <t xml:space="preserve">增值税”占完税价格的比例 </t>
    </r>
    <r>
      <rPr>
        <i val="true"/>
        <sz val="9"/>
        <color rgb="FF595959"/>
        <rFont val="Arial"/>
        <family val="0"/>
        <charset val="1"/>
      </rPr>
      <t xml:space="preserve">=(1+</t>
    </r>
    <r>
      <rPr>
        <i val="true"/>
        <sz val="9"/>
        <color rgb="FF595959"/>
        <rFont val="WenQuanYi Zen Hei"/>
        <family val="2"/>
      </rPr>
      <t xml:space="preserve">关税率</t>
    </r>
    <r>
      <rPr>
        <i val="true"/>
        <sz val="9"/>
        <color rgb="FF595959"/>
        <rFont val="Arial"/>
        <family val="0"/>
        <charset val="1"/>
      </rPr>
      <t xml:space="preserve">)×(1+</t>
    </r>
    <r>
      <rPr>
        <i val="true"/>
        <sz val="9"/>
        <color rgb="FF595959"/>
        <rFont val="WenQuanYi Zen Hei"/>
        <family val="2"/>
      </rPr>
      <t xml:space="preserve">增值税率</t>
    </r>
    <r>
      <rPr>
        <i val="true"/>
        <sz val="9"/>
        <color rgb="FF595959"/>
        <rFont val="Arial"/>
        <family val="0"/>
        <charset val="1"/>
      </rPr>
      <t xml:space="preserve">)−1</t>
    </r>
    <r>
      <rPr>
        <i val="true"/>
        <sz val="9"/>
        <color rgb="FF595959"/>
        <rFont val="WenQuanYi Zen Hei"/>
        <family val="2"/>
      </rPr>
      <t xml:space="preserve">，只适用于纯从价税商品。报关前务必用 </t>
    </r>
    <r>
      <rPr>
        <i val="true"/>
        <sz val="9"/>
        <color rgb="FF595959"/>
        <rFont val="Arial"/>
        <family val="0"/>
        <charset val="1"/>
      </rPr>
      <t xml:space="preserve">ГТК </t>
    </r>
    <r>
      <rPr>
        <i val="true"/>
        <sz val="9"/>
        <color rgb="FF595959"/>
        <rFont val="WenQuanYi Zen Hei"/>
        <family val="2"/>
      </rPr>
      <t xml:space="preserve">税则核实完整 </t>
    </r>
    <r>
      <rPr>
        <i val="true"/>
        <sz val="9"/>
        <color rgb="FF595959"/>
        <rFont val="Arial"/>
        <family val="0"/>
        <charset val="1"/>
      </rPr>
      <t xml:space="preserve">10 </t>
    </r>
    <r>
      <rPr>
        <i val="true"/>
        <sz val="9"/>
        <color rgb="FF595959"/>
        <rFont val="WenQuanYi Zen Hei"/>
        <family val="2"/>
      </rPr>
      <t xml:space="preserve">位编码</t>
    </r>
  </si>
  <si>
    <r>
      <rPr>
        <b val="true"/>
        <sz val="10"/>
        <color rgb="FFFFFFFF"/>
        <rFont val="Arial"/>
        <family val="0"/>
        <charset val="1"/>
      </rPr>
      <t xml:space="preserve">HS </t>
    </r>
    <r>
      <rPr>
        <b val="true"/>
        <sz val="10"/>
        <color rgb="FFFFFFFF"/>
        <rFont val="WenQuanYi Zen Hei"/>
        <family val="2"/>
      </rPr>
      <t xml:space="preserve">编码（</t>
    </r>
    <r>
      <rPr>
        <b val="true"/>
        <sz val="10"/>
        <color rgb="FFFFFFFF"/>
        <rFont val="Arial"/>
        <family val="0"/>
        <charset val="1"/>
      </rPr>
      <t xml:space="preserve">ТН ВЭД</t>
    </r>
    <r>
      <rPr>
        <b val="true"/>
        <sz val="10"/>
        <color rgb="FFFFFFFF"/>
        <rFont val="WenQuanYi Zen Hei"/>
        <family val="2"/>
      </rPr>
      <t xml:space="preserve">）</t>
    </r>
  </si>
  <si>
    <t xml:space="preserve">商品</t>
  </si>
  <si>
    <r>
      <rPr>
        <b val="true"/>
        <sz val="10"/>
        <color rgb="FFFFFFFF"/>
        <rFont val="Arial"/>
        <family val="0"/>
        <charset val="1"/>
      </rPr>
      <t xml:space="preserve">ЕТТ </t>
    </r>
    <r>
      <rPr>
        <b val="true"/>
        <sz val="10"/>
        <color rgb="FFFFFFFF"/>
        <rFont val="WenQuanYi Zen Hei"/>
        <family val="2"/>
      </rPr>
      <t xml:space="preserve">基本税率（原文表述）</t>
    </r>
  </si>
  <si>
    <t xml:space="preserve">税率类型</t>
  </si>
  <si>
    <t xml:space="preserve">从价税率</t>
  </si>
  <si>
    <t xml:space="preserve">增值税率</t>
  </si>
  <si>
    <t xml:space="preserve">对华适用</t>
  </si>
  <si>
    <r>
      <rPr>
        <b val="true"/>
        <sz val="10"/>
        <color rgb="FFFFFFFF"/>
        <rFont val="WenQuanYi Zen Hei"/>
        <family val="2"/>
      </rPr>
      <t xml:space="preserve">关税</t>
    </r>
    <r>
      <rPr>
        <b val="true"/>
        <sz val="10"/>
        <color rgb="FFFFFFFF"/>
        <rFont val="Arial"/>
        <family val="0"/>
        <charset val="1"/>
      </rPr>
      <t xml:space="preserve">+</t>
    </r>
    <r>
      <rPr>
        <b val="true"/>
        <sz val="10"/>
        <color rgb="FFFFFFFF"/>
        <rFont val="WenQuanYi Zen Hei"/>
        <family val="2"/>
      </rPr>
      <t xml:space="preserve">增值税合计（占完税价格）</t>
    </r>
  </si>
  <si>
    <t xml:space="preserve">备注</t>
  </si>
  <si>
    <r>
      <rPr>
        <b val="true"/>
        <sz val="10"/>
        <color rgb="FFFFFFFF"/>
        <rFont val="WenQuanYi Zen Hei"/>
        <family val="2"/>
      </rPr>
      <t xml:space="preserve">编码页面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原文链接</t>
    </r>
  </si>
  <si>
    <r>
      <rPr>
        <sz val="10"/>
        <rFont val="Arial"/>
        <family val="0"/>
        <charset val="1"/>
      </rPr>
      <t xml:space="preserve">8703</t>
    </r>
    <r>
      <rPr>
        <sz val="10"/>
        <rFont val="WenQuanYi Zen Hei"/>
        <family val="2"/>
      </rPr>
      <t xml:space="preserve">（汽油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柴油）</t>
    </r>
  </si>
  <si>
    <t xml:space="preserve">乘用车（一般）</t>
  </si>
  <si>
    <r>
      <rPr>
        <sz val="10"/>
        <rFont val="Arial"/>
        <family val="0"/>
        <charset val="1"/>
      </rPr>
      <t xml:space="preserve">15%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ГТК</t>
    </r>
    <r>
      <rPr>
        <sz val="10"/>
        <rFont val="WenQuanYi Zen Hei"/>
        <family val="2"/>
      </rPr>
      <t xml:space="preserve">：乘用车为完税价格的 </t>
    </r>
    <r>
      <rPr>
        <sz val="10"/>
        <rFont val="Arial"/>
        <family val="0"/>
        <charset val="1"/>
      </rPr>
      <t xml:space="preserve">15%</t>
    </r>
    <r>
      <rPr>
        <sz val="10"/>
        <rFont val="WenQuanYi Zen Hei"/>
        <family val="2"/>
      </rPr>
      <t xml:space="preserve">）</t>
    </r>
  </si>
  <si>
    <t xml:space="preserve">从价</t>
  </si>
  <si>
    <t xml:space="preserve">一般税率</t>
  </si>
  <si>
    <t xml:space="preserve">S040, S077</t>
  </si>
  <si>
    <t xml:space="preserve">另缴报废税；个人自用车适用统一税率（见“汽车进口专题”）</t>
  </si>
  <si>
    <t xml:space="preserve">https://pravo.by/novosti/obshchestvenno-politicheskie-i-v-oblasti-prava/2025/october/90569/</t>
  </si>
  <si>
    <t xml:space="preserve">8703 80</t>
  </si>
  <si>
    <t xml:space="preserve">纯电动乘用车</t>
  </si>
  <si>
    <r>
      <rPr>
        <sz val="10"/>
        <rFont val="Arial"/>
        <family val="0"/>
        <charset val="1"/>
      </rPr>
      <t xml:space="preserve">15%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年配额内 </t>
    </r>
    <r>
      <rPr>
        <sz val="10"/>
        <rFont val="Arial"/>
        <family val="0"/>
        <charset val="1"/>
      </rPr>
      <t xml:space="preserve">0%</t>
    </r>
    <r>
      <rPr>
        <sz val="10"/>
        <rFont val="WenQuanYi Zen Hei"/>
        <family val="2"/>
      </rPr>
      <t xml:space="preserve">（配额已用完）</t>
    </r>
  </si>
  <si>
    <t xml:space="preserve">S021, S075, S076</t>
  </si>
  <si>
    <r>
      <rPr>
        <sz val="10"/>
        <rFont val="WenQuanYi Zen Hei"/>
        <family val="2"/>
      </rPr>
      <t xml:space="preserve">配额内法人和个人免关税，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年均已用完；个人进口出厂 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年以内电动车免增值税，延至 </t>
    </r>
    <r>
      <rPr>
        <sz val="10"/>
        <rFont val="Arial"/>
        <family val="0"/>
        <charset val="1"/>
      </rPr>
      <t xml:space="preserve">2028-12-31</t>
    </r>
  </si>
  <si>
    <t xml:space="preserve">https://www.customs.gov.by/news/ob-ustanovlenii-lgot-v-otnoshenii-elektromobiley-na-2026-god/</t>
  </si>
  <si>
    <t xml:space="preserve">8703 40–8703 70</t>
  </si>
  <si>
    <r>
      <rPr>
        <sz val="10"/>
        <rFont val="WenQuanYi Zen Hei"/>
        <family val="2"/>
      </rPr>
      <t xml:space="preserve">混合动力乘用车（含增程式 </t>
    </r>
    <r>
      <rPr>
        <sz val="10"/>
        <rFont val="Arial"/>
        <family val="0"/>
        <charset val="1"/>
      </rPr>
      <t xml:space="preserve">REEV</t>
    </r>
    <r>
      <rPr>
        <sz val="10"/>
        <rFont val="WenQuanYi Zen Hei"/>
        <family val="2"/>
      </rPr>
      <t xml:space="preserve">）</t>
    </r>
  </si>
  <si>
    <t xml:space="preserve">15%</t>
  </si>
  <si>
    <t xml:space="preserve">S041, S077</t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</si>
  <si>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年起只有纯电动车算“电动车”，各类混动车（含增程式）不享受电动车优惠</t>
    </r>
  </si>
  <si>
    <t xml:space="preserve">https://pravo.by/novosti/obshchestvenno-politicheskie-i-v-oblasti-prava/2026/february/92131/</t>
  </si>
  <si>
    <t xml:space="preserve">8517 13 000 0</t>
  </si>
  <si>
    <t xml:space="preserve">智能手机</t>
  </si>
  <si>
    <t xml:space="preserve">0%</t>
  </si>
  <si>
    <t xml:space="preserve">S119</t>
  </si>
  <si>
    <t xml:space="preserve">信息技术产品普遍零关税</t>
  </si>
  <si>
    <t xml:space="preserve">https://www.alta.ru/tnved/code/8517130000/</t>
  </si>
  <si>
    <t xml:space="preserve">8471 30 000 0</t>
  </si>
  <si>
    <r>
      <rPr>
        <sz val="10"/>
        <rFont val="WenQuanYi Zen Hei"/>
        <family val="2"/>
      </rPr>
      <t xml:space="preserve">便携式电脑（≤</t>
    </r>
    <r>
      <rPr>
        <sz val="10"/>
        <rFont val="Arial"/>
        <family val="0"/>
        <charset val="1"/>
      </rPr>
      <t xml:space="preserve">10 kg</t>
    </r>
    <r>
      <rPr>
        <sz val="10"/>
        <rFont val="WenQuanYi Zen Hei"/>
        <family val="2"/>
      </rPr>
      <t xml:space="preserve">）</t>
    </r>
  </si>
  <si>
    <t xml:space="preserve">https://www.alta.ru/tnved/code/8471300000/</t>
  </si>
  <si>
    <t xml:space="preserve">8528 72 100 0</t>
  </si>
  <si>
    <t xml:space="preserve">彩色电视接收设备</t>
  </si>
  <si>
    <t xml:space="preserve">“税费测算器”用本行作示例</t>
  </si>
  <si>
    <t xml:space="preserve">https://www.alta.ru/tnved/code/8528721000/</t>
  </si>
  <si>
    <t xml:space="preserve">8418 10 200 1</t>
  </si>
  <si>
    <r>
      <rPr>
        <sz val="10"/>
        <rFont val="WenQuanYi Zen Hei"/>
        <family val="2"/>
      </rPr>
      <t xml:space="preserve">冷藏冷冻组合柜（容积 </t>
    </r>
    <r>
      <rPr>
        <sz val="10"/>
        <rFont val="Arial"/>
        <family val="0"/>
        <charset val="1"/>
      </rPr>
      <t xml:space="preserve">&gt;340 </t>
    </r>
    <r>
      <rPr>
        <sz val="10"/>
        <rFont val="WenQuanYi Zen Hei"/>
        <family val="2"/>
      </rPr>
      <t xml:space="preserve">升）</t>
    </r>
  </si>
  <si>
    <t xml:space="preserve">12%</t>
  </si>
  <si>
    <t xml:space="preserve">https://www.alta.ru/tnved/code/8418102001/</t>
  </si>
  <si>
    <t xml:space="preserve">8415 10 900 0</t>
  </si>
  <si>
    <t xml:space="preserve">分体式空调</t>
  </si>
  <si>
    <r>
      <rPr>
        <sz val="10"/>
        <rFont val="Arial"/>
        <family val="0"/>
        <charset val="1"/>
      </rPr>
      <t xml:space="preserve">0%</t>
    </r>
    <r>
      <rPr>
        <sz val="10"/>
        <rFont val="WenQuanYi Zen Hei"/>
        <family val="2"/>
      </rPr>
      <t xml:space="preserve">（摘要值）</t>
    </r>
  </si>
  <si>
    <t xml:space="preserve">与经验值差异较大，务必核实</t>
  </si>
  <si>
    <t xml:space="preserve">https://www.alta.ru/tnved/code/8415109000/</t>
  </si>
  <si>
    <t xml:space="preserve">8429 52 100 9</t>
  </si>
  <si>
    <t xml:space="preserve">全回转履带式挖掘机</t>
  </si>
  <si>
    <t xml:space="preserve">5%</t>
  </si>
  <si>
    <t xml:space="preserve">另缴报废税（自走式机械）</t>
  </si>
  <si>
    <t xml:space="preserve">https://www.alta.ru/tnved/code/8429521009/</t>
  </si>
  <si>
    <t xml:space="preserve">9503 00 700 0</t>
  </si>
  <si>
    <t xml:space="preserve">成套玩具</t>
  </si>
  <si>
    <r>
      <rPr>
        <sz val="10"/>
        <rFont val="WenQuanYi Zen Hei"/>
        <family val="2"/>
      </rPr>
      <t xml:space="preserve">儿童用品可能适用 </t>
    </r>
    <r>
      <rPr>
        <sz val="10"/>
        <rFont val="Arial"/>
        <family val="0"/>
        <charset val="1"/>
      </rPr>
      <t xml:space="preserve">10% </t>
    </r>
    <r>
      <rPr>
        <sz val="10"/>
        <rFont val="WenQuanYi Zen Hei"/>
        <family val="2"/>
      </rPr>
      <t xml:space="preserve">增值税，需对照清单</t>
    </r>
  </si>
  <si>
    <t xml:space="preserve">https://www.alta.ru/tnved/code/9503007000/</t>
  </si>
  <si>
    <t xml:space="preserve">3304 99 000 0</t>
  </si>
  <si>
    <t xml:space="preserve">护肤及其他化妆品</t>
  </si>
  <si>
    <t xml:space="preserve">6.5%</t>
  </si>
  <si>
    <t xml:space="preserve">https://www.alta.ru/tnved/code/3304990000/</t>
  </si>
  <si>
    <t xml:space="preserve">3004 90 000 2</t>
  </si>
  <si>
    <t xml:space="preserve">零售包装药品（其他）</t>
  </si>
  <si>
    <t xml:space="preserve">3%</t>
  </si>
  <si>
    <t xml:space="preserve">见备注</t>
  </si>
  <si>
    <t xml:space="preserve">已注册药品的进口增值税待遇本次未核实</t>
  </si>
  <si>
    <t xml:space="preserve">https://www.alta.ru/tnved/code/3004900002/</t>
  </si>
  <si>
    <t xml:space="preserve">8541 43 000 0</t>
  </si>
  <si>
    <t xml:space="preserve">光伏组件</t>
  </si>
  <si>
    <t xml:space="preserve">https://www.alta.ru/tnved/code/8541430000/</t>
  </si>
  <si>
    <t xml:space="preserve">4011 10 000 3</t>
  </si>
  <si>
    <r>
      <rPr>
        <sz val="10"/>
        <rFont val="WenQuanYi Zen Hei"/>
        <family val="2"/>
      </rPr>
      <t xml:space="preserve">乘用车新充气橡胶轮胎（轮辋 ≤</t>
    </r>
    <r>
      <rPr>
        <sz val="10"/>
        <rFont val="Arial"/>
        <family val="0"/>
        <charset val="1"/>
      </rPr>
      <t xml:space="preserve">16 </t>
    </r>
    <r>
      <rPr>
        <sz val="10"/>
        <rFont val="WenQuanYi Zen Hei"/>
        <family val="2"/>
      </rPr>
      <t xml:space="preserve">英寸）</t>
    </r>
  </si>
  <si>
    <t xml:space="preserve">S119, S049</t>
  </si>
  <si>
    <r>
      <rPr>
        <sz val="10"/>
        <rFont val="WenQuanYi Zen Hei"/>
        <family val="2"/>
      </rPr>
      <t xml:space="preserve">经白俄–立陶宛边境口岸进口轮胎被禁止（至 </t>
    </r>
    <r>
      <rPr>
        <sz val="10"/>
        <rFont val="Arial"/>
        <family val="0"/>
        <charset val="1"/>
      </rPr>
      <t xml:space="preserve">2027-12-31</t>
    </r>
    <r>
      <rPr>
        <sz val="10"/>
        <rFont val="WenQuanYi Zen Hei"/>
        <family val="2"/>
      </rPr>
      <t xml:space="preserve">）</t>
    </r>
  </si>
  <si>
    <t xml:space="preserve">https://www.alta.ru/tnved/code/4011100003/</t>
  </si>
  <si>
    <t xml:space="preserve">0902 30 000 1</t>
  </si>
  <si>
    <r>
      <rPr>
        <sz val="10"/>
        <rFont val="WenQuanYi Zen Hei"/>
        <family val="2"/>
      </rPr>
      <t xml:space="preserve">红茶（零售包装 ≤</t>
    </r>
    <r>
      <rPr>
        <sz val="10"/>
        <rFont val="Arial"/>
        <family val="0"/>
        <charset val="1"/>
      </rPr>
      <t xml:space="preserve">3 kg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</si>
  <si>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12.5%</t>
    </r>
    <r>
      <rPr>
        <sz val="10"/>
        <rFont val="WenQuanYi Zen Hei"/>
        <family val="2"/>
      </rPr>
      <t xml:space="preserve">，但不低于 </t>
    </r>
    <r>
      <rPr>
        <sz val="10"/>
        <rFont val="Arial"/>
        <family val="0"/>
        <charset val="1"/>
      </rPr>
      <t xml:space="preserve">0.5 </t>
    </r>
    <r>
      <rPr>
        <sz val="10"/>
        <rFont val="WenQuanYi Zen Hei"/>
        <family val="2"/>
      </rPr>
      <t xml:space="preserve">欧元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公斤</t>
    </r>
  </si>
  <si>
    <t xml:space="preserve">复合（取高）</t>
  </si>
  <si>
    <r>
      <rPr>
        <sz val="10"/>
        <rFont val="WenQuanYi Zen Hei"/>
        <family val="2"/>
      </rPr>
      <t xml:space="preserve">从价部分为 </t>
    </r>
    <r>
      <rPr>
        <sz val="10"/>
        <rFont val="Arial"/>
        <family val="0"/>
        <charset val="1"/>
      </rPr>
      <t xml:space="preserve">12.5%</t>
    </r>
    <r>
      <rPr>
        <sz val="10"/>
        <rFont val="WenQuanYi Zen Hei"/>
        <family val="2"/>
      </rPr>
      <t xml:space="preserve">；增值税适用 </t>
    </r>
    <r>
      <rPr>
        <sz val="10"/>
        <rFont val="Arial"/>
        <family val="0"/>
        <charset val="1"/>
      </rPr>
      <t xml:space="preserve">20% </t>
    </r>
    <r>
      <rPr>
        <sz val="10"/>
        <rFont val="WenQuanYi Zen Hei"/>
        <family val="2"/>
      </rPr>
      <t xml:space="preserve">还是 </t>
    </r>
    <r>
      <rPr>
        <sz val="10"/>
        <rFont val="Arial"/>
        <family val="0"/>
        <charset val="1"/>
      </rPr>
      <t xml:space="preserve">10% </t>
    </r>
    <r>
      <rPr>
        <sz val="10"/>
        <rFont val="WenQuanYi Zen Hei"/>
        <family val="2"/>
      </rPr>
      <t xml:space="preserve">取决于是否列入清单</t>
    </r>
  </si>
  <si>
    <t xml:space="preserve">https://www.alta.ru/tnved/code/0902300001/</t>
  </si>
  <si>
    <t xml:space="preserve">0902 40 000 0</t>
  </si>
  <si>
    <r>
      <rPr>
        <sz val="10"/>
        <rFont val="WenQuanYi Zen Hei"/>
        <family val="2"/>
      </rPr>
      <t xml:space="preserve">红茶（包装 </t>
    </r>
    <r>
      <rPr>
        <sz val="10"/>
        <rFont val="Arial"/>
        <family val="0"/>
        <charset val="1"/>
      </rPr>
      <t xml:space="preserve">&gt;3 kg</t>
    </r>
    <r>
      <rPr>
        <sz val="10"/>
        <rFont val="WenQuanYi Zen Hei"/>
        <family val="2"/>
      </rPr>
      <t xml:space="preserve">）</t>
    </r>
  </si>
  <si>
    <t xml:space="preserve">https://www.alta.ru/tnved/code/0902400000/</t>
  </si>
  <si>
    <t xml:space="preserve">6109 10 000 0</t>
  </si>
  <si>
    <r>
      <rPr>
        <sz val="10"/>
        <rFont val="WenQuanYi Zen Hei"/>
        <family val="2"/>
      </rPr>
      <t xml:space="preserve">棉制针织 </t>
    </r>
    <r>
      <rPr>
        <sz val="10"/>
        <rFont val="Arial"/>
        <family val="0"/>
        <charset val="1"/>
      </rPr>
      <t xml:space="preserve">T </t>
    </r>
    <r>
      <rPr>
        <sz val="10"/>
        <rFont val="WenQuanYi Zen Hei"/>
        <family val="2"/>
      </rPr>
      <t xml:space="preserve">恤</t>
    </r>
  </si>
  <si>
    <r>
      <rPr>
        <sz val="10"/>
        <rFont val="WenQuanYi Zen Hei"/>
        <family val="2"/>
      </rPr>
      <t xml:space="preserve">摘要显示 </t>
    </r>
    <r>
      <rPr>
        <sz val="10"/>
        <rFont val="Arial"/>
        <family val="0"/>
        <charset val="1"/>
      </rPr>
      <t xml:space="preserve">1.75 </t>
    </r>
    <r>
      <rPr>
        <sz val="10"/>
        <rFont val="WenQuanYi Zen Hei"/>
        <family val="2"/>
      </rPr>
      <t xml:space="preserve">欧元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公斤</t>
    </r>
  </si>
  <si>
    <r>
      <rPr>
        <sz val="10"/>
        <rFont val="WenQuanYi Zen Hei"/>
        <family val="2"/>
      </rPr>
      <t xml:space="preserve">从量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复合</t>
    </r>
  </si>
  <si>
    <t xml:space="preserve">摘要可能漏掉了复合税率中的从价部分，务必核实</t>
  </si>
  <si>
    <t xml:space="preserve">https://www.alta.ru/tnved/code/6109100000/</t>
  </si>
  <si>
    <t xml:space="preserve">6403 19 000 0</t>
  </si>
  <si>
    <t xml:space="preserve">皮面运动鞋</t>
  </si>
  <si>
    <r>
      <rPr>
        <sz val="10"/>
        <rFont val="WenQuanYi Zen Hei"/>
        <family val="2"/>
      </rPr>
      <t xml:space="preserve">摘要显示 </t>
    </r>
    <r>
      <rPr>
        <sz val="10"/>
        <rFont val="Arial"/>
        <family val="0"/>
        <charset val="1"/>
      </rPr>
      <t xml:space="preserve">0.34 </t>
    </r>
    <r>
      <rPr>
        <sz val="10"/>
        <rFont val="WenQuanYi Zen Hei"/>
        <family val="2"/>
      </rPr>
      <t xml:space="preserve">欧元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双</t>
    </r>
  </si>
  <si>
    <t xml:space="preserve">疑似只显示了复合税率的从量最低额，务必核实</t>
  </si>
  <si>
    <t xml:space="preserve">https://www.alta.ru/tnved/code/6403190000/</t>
  </si>
  <si>
    <t xml:space="preserve">9403 60 100 1</t>
  </si>
  <si>
    <r>
      <rPr>
        <sz val="10"/>
        <rFont val="WenQuanYi Zen Hei"/>
        <family val="2"/>
      </rPr>
      <t xml:space="preserve">餐厅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起居室木制家具（≤</t>
    </r>
    <r>
      <rPr>
        <sz val="10"/>
        <rFont val="Arial"/>
        <family val="0"/>
        <charset val="1"/>
      </rPr>
      <t xml:space="preserve">1.8 </t>
    </r>
    <r>
      <rPr>
        <sz val="10"/>
        <rFont val="WenQuanYi Zen Hei"/>
        <family val="2"/>
      </rPr>
      <t xml:space="preserve">欧元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公斤）</t>
    </r>
  </si>
  <si>
    <r>
      <rPr>
        <sz val="10"/>
        <rFont val="Arial"/>
        <family val="0"/>
        <charset val="1"/>
      </rPr>
      <t xml:space="preserve">0.23 </t>
    </r>
    <r>
      <rPr>
        <sz val="10"/>
        <rFont val="WenQuanYi Zen Hei"/>
        <family val="2"/>
      </rPr>
      <t xml:space="preserve">欧元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公斤</t>
    </r>
  </si>
  <si>
    <t xml:space="preserve">从量</t>
  </si>
  <si>
    <r>
      <rPr>
        <sz val="10"/>
        <rFont val="WenQuanYi Zen Hei"/>
        <family val="2"/>
      </rPr>
      <t xml:space="preserve">同品目其他子目多为复合税（如 </t>
    </r>
    <r>
      <rPr>
        <sz val="10"/>
        <rFont val="Arial"/>
        <family val="0"/>
        <charset val="1"/>
      </rPr>
      <t xml:space="preserve">10% + 0.1 </t>
    </r>
    <r>
      <rPr>
        <sz val="10"/>
        <rFont val="WenQuanYi Zen Hei"/>
        <family val="2"/>
      </rPr>
      <t xml:space="preserve">欧元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公斤）</t>
    </r>
  </si>
  <si>
    <t xml:space="preserve">https://www.alta.ru/tnved/code/9403601001/</t>
  </si>
  <si>
    <t xml:space="preserve">2602</t>
  </si>
  <si>
    <t xml:space="preserve">锰矿砂及精矿</t>
  </si>
  <si>
    <r>
      <rPr>
        <sz val="10"/>
        <rFont val="Arial"/>
        <family val="0"/>
        <charset val="1"/>
      </rPr>
      <t xml:space="preserve">0%</t>
    </r>
    <r>
      <rPr>
        <sz val="10"/>
        <rFont val="WenQuanYi Zen Hei"/>
        <family val="2"/>
      </rPr>
      <t xml:space="preserve">（临时，至 </t>
    </r>
    <r>
      <rPr>
        <sz val="10"/>
        <rFont val="Arial"/>
        <family val="0"/>
        <charset val="1"/>
      </rPr>
      <t xml:space="preserve">2028-08-31</t>
    </r>
    <r>
      <rPr>
        <sz val="10"/>
        <rFont val="WenQuanYi Zen Hei"/>
        <family val="2"/>
      </rPr>
      <t xml:space="preserve">）</t>
    </r>
  </si>
  <si>
    <t xml:space="preserve">S086</t>
  </si>
  <si>
    <r>
      <rPr>
        <sz val="10"/>
        <rFont val="Arial"/>
        <family val="0"/>
        <charset val="1"/>
      </rPr>
      <t xml:space="preserve">EEC </t>
    </r>
    <r>
      <rPr>
        <sz val="10"/>
        <rFont val="WenQuanYi Zen Hei"/>
        <family val="2"/>
      </rPr>
      <t xml:space="preserve">委员会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年决定，支持冶金业</t>
    </r>
  </si>
  <si>
    <t xml:space="preserve">8108 30</t>
  </si>
  <si>
    <t xml:space="preserve">钛废碎料</t>
  </si>
  <si>
    <t xml:space="preserve">S087</t>
  </si>
  <si>
    <r>
      <rPr>
        <sz val="10"/>
        <rFont val="Arial"/>
        <family val="0"/>
        <charset val="1"/>
      </rPr>
      <t xml:space="preserve">EEC </t>
    </r>
    <r>
      <rPr>
        <sz val="10"/>
        <rFont val="WenQuanYi Zen Hei"/>
        <family val="2"/>
      </rPr>
      <t xml:space="preserve">委员会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年决定</t>
    </r>
  </si>
  <si>
    <t xml:space="preserve">7202 93</t>
  </si>
  <si>
    <t xml:space="preserve">铌铁</t>
  </si>
  <si>
    <r>
      <rPr>
        <sz val="10"/>
        <rFont val="Arial"/>
        <family val="0"/>
        <charset val="1"/>
      </rPr>
      <t xml:space="preserve">0%</t>
    </r>
    <r>
      <rPr>
        <sz val="10"/>
        <rFont val="WenQuanYi Zen Hei"/>
        <family val="2"/>
      </rPr>
      <t xml:space="preserve">（临时，至 </t>
    </r>
    <r>
      <rPr>
        <sz val="10"/>
        <rFont val="Arial"/>
        <family val="0"/>
        <charset val="1"/>
      </rPr>
      <t xml:space="preserve">2028-02-29</t>
    </r>
    <r>
      <rPr>
        <sz val="10"/>
        <rFont val="WenQuanYi Zen Hei"/>
        <family val="2"/>
      </rPr>
      <t xml:space="preserve">）</t>
    </r>
  </si>
  <si>
    <t xml:space="preserve">S088</t>
  </si>
  <si>
    <t xml:space="preserve">7112</t>
  </si>
  <si>
    <t xml:space="preserve">贵金属废碎料</t>
  </si>
  <si>
    <r>
      <rPr>
        <sz val="10"/>
        <rFont val="Arial"/>
        <family val="0"/>
        <charset val="1"/>
      </rPr>
      <t xml:space="preserve">0%</t>
    </r>
    <r>
      <rPr>
        <sz val="10"/>
        <rFont val="WenQuanYi Zen Hei"/>
        <family val="2"/>
      </rPr>
      <t xml:space="preserve">（临时，至 </t>
    </r>
    <r>
      <rPr>
        <sz val="10"/>
        <rFont val="Arial"/>
        <family val="0"/>
        <charset val="1"/>
      </rPr>
      <t xml:space="preserve">2028-12-31</t>
    </r>
    <r>
      <rPr>
        <sz val="10"/>
        <rFont val="WenQuanYi Zen Hei"/>
        <family val="2"/>
      </rPr>
      <t xml:space="preserve">）</t>
    </r>
  </si>
  <si>
    <t xml:space="preserve">只见于检索摘要</t>
  </si>
  <si>
    <t xml:space="preserve">0201 / 0202</t>
  </si>
  <si>
    <r>
      <rPr>
        <sz val="10"/>
        <rFont val="WenQuanYi Zen Hei"/>
        <family val="2"/>
      </rPr>
      <t xml:space="preserve">牛肉（鲜冷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冻）</t>
    </r>
  </si>
  <si>
    <r>
      <rPr>
        <sz val="10"/>
        <rFont val="WenQuanYi Zen Hei"/>
        <family val="2"/>
      </rPr>
      <t xml:space="preserve">白俄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 </t>
    </r>
    <r>
      <rPr>
        <sz val="10"/>
        <rFont val="Arial"/>
        <family val="0"/>
        <charset val="1"/>
      </rPr>
      <t xml:space="preserve">7,500 </t>
    </r>
    <r>
      <rPr>
        <sz val="10"/>
        <rFont val="WenQuanYi Zen Hei"/>
        <family val="2"/>
      </rPr>
      <t xml:space="preserve">吨免关税（国别关税优惠）</t>
    </r>
  </si>
  <si>
    <t xml:space="preserve">配额</t>
  </si>
  <si>
    <t xml:space="preserve">配额按部长会议程序分配</t>
  </si>
  <si>
    <t xml:space="preserve">S046</t>
  </si>
  <si>
    <r>
      <rPr>
        <sz val="10"/>
        <rFont val="WenQuanYi Zen Hei"/>
        <family val="2"/>
      </rPr>
      <t xml:space="preserve">依据 </t>
    </r>
    <r>
      <rPr>
        <sz val="10"/>
        <rFont val="Arial"/>
        <family val="0"/>
        <charset val="1"/>
      </rPr>
      <t xml:space="preserve">EEC </t>
    </r>
    <r>
      <rPr>
        <sz val="10"/>
        <rFont val="WenQuanYi Zen Hei"/>
        <family val="2"/>
      </rPr>
      <t xml:space="preserve">理事会 </t>
    </r>
    <r>
      <rPr>
        <sz val="10"/>
        <rFont val="Arial"/>
        <family val="0"/>
        <charset val="1"/>
      </rPr>
      <t xml:space="preserve">2026-01-30 </t>
    </r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18 </t>
    </r>
    <r>
      <rPr>
        <sz val="10"/>
        <rFont val="WenQuanYi Zen Hei"/>
        <family val="2"/>
      </rPr>
      <t xml:space="preserve">号决定；部长会议 </t>
    </r>
    <r>
      <rPr>
        <sz val="10"/>
        <rFont val="Arial"/>
        <family val="0"/>
        <charset val="1"/>
      </rPr>
      <t xml:space="preserve">2026-05-06 </t>
    </r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227 </t>
    </r>
    <r>
      <rPr>
        <sz val="10"/>
        <rFont val="WenQuanYi Zen Hei"/>
        <family val="2"/>
      </rPr>
      <t xml:space="preserve">号决议规定分配程序</t>
    </r>
  </si>
  <si>
    <t xml:space="preserve">https://pravo.by/novosti/obshchestvenno-politicheskie-i-v-oblasti-prava/2026/maj/93386/</t>
  </si>
  <si>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08 / 12 </t>
    </r>
    <r>
      <rPr>
        <sz val="10"/>
        <rFont val="WenQuanYi Zen Hei"/>
        <family val="2"/>
      </rPr>
      <t xml:space="preserve">章部分编码</t>
    </r>
  </si>
  <si>
    <t xml:space="preserve">部分坚果、籽仁和果核</t>
  </si>
  <si>
    <r>
      <rPr>
        <sz val="10"/>
        <rFont val="Arial"/>
        <family val="0"/>
        <charset val="1"/>
      </rPr>
      <t xml:space="preserve">0%</t>
    </r>
    <r>
      <rPr>
        <sz val="10"/>
        <rFont val="WenQuanYi Zen Hei"/>
        <family val="2"/>
      </rPr>
      <t xml:space="preserve">（为期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年）</t>
    </r>
  </si>
  <si>
    <t xml:space="preserve">S067</t>
  </si>
  <si>
    <r>
      <rPr>
        <sz val="10"/>
        <rFont val="Arial"/>
        <family val="0"/>
        <charset val="1"/>
      </rPr>
      <t xml:space="preserve">EEC </t>
    </r>
    <r>
      <rPr>
        <sz val="10"/>
        <rFont val="WenQuanYi Zen Hei"/>
        <family val="2"/>
      </rPr>
      <t xml:space="preserve">委员会 </t>
    </r>
    <r>
      <rPr>
        <sz val="10"/>
        <rFont val="Arial"/>
        <family val="0"/>
        <charset val="1"/>
      </rPr>
      <t xml:space="preserve">2025-12 </t>
    </r>
    <r>
      <rPr>
        <sz val="10"/>
        <rFont val="WenQuanYi Zen Hei"/>
        <family val="2"/>
      </rPr>
      <t xml:space="preserve">决定；具体编码见原文</t>
    </r>
  </si>
  <si>
    <r>
      <rPr>
        <sz val="10"/>
        <rFont val="Arial"/>
        <family val="0"/>
        <charset val="1"/>
      </rPr>
      <t xml:space="preserve">2830 10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3912 39</t>
    </r>
  </si>
  <si>
    <t xml:space="preserve">硫化钠；纤维素醚</t>
  </si>
  <si>
    <r>
      <rPr>
        <sz val="10"/>
        <rFont val="WenQuanYi Zen Hei"/>
        <family val="2"/>
      </rPr>
      <t xml:space="preserve">临时 </t>
    </r>
    <r>
      <rPr>
        <sz val="10"/>
        <rFont val="Arial"/>
        <family val="0"/>
        <charset val="1"/>
      </rPr>
      <t xml:space="preserve">0%</t>
    </r>
  </si>
  <si>
    <t xml:space="preserve">S089</t>
  </si>
  <si>
    <r>
      <rPr>
        <sz val="10"/>
        <rFont val="Arial"/>
        <family val="0"/>
        <charset val="1"/>
      </rPr>
      <t xml:space="preserve">EEC </t>
    </r>
    <r>
      <rPr>
        <sz val="10"/>
        <rFont val="WenQuanYi Zen Hei"/>
        <family val="2"/>
      </rPr>
      <t xml:space="preserve">理事会 </t>
    </r>
    <r>
      <rPr>
        <sz val="10"/>
        <rFont val="Arial"/>
        <family val="0"/>
        <charset val="1"/>
      </rPr>
      <t xml:space="preserve">2025 </t>
    </r>
    <r>
      <rPr>
        <sz val="10"/>
        <rFont val="WenQuanYi Zen Hei"/>
        <family val="2"/>
      </rPr>
      <t xml:space="preserve">年决定</t>
    </r>
  </si>
  <si>
    <r>
      <rPr>
        <b val="true"/>
        <sz val="10"/>
        <rFont val="WenQuanYi Zen Hei"/>
        <family val="2"/>
      </rPr>
      <t xml:space="preserve">纯从价商品平均 </t>
    </r>
    <r>
      <rPr>
        <b val="true"/>
        <sz val="10"/>
        <rFont val="Arial"/>
        <family val="0"/>
        <charset val="1"/>
      </rPr>
      <t xml:space="preserve">ЕТТ </t>
    </r>
    <r>
      <rPr>
        <b val="true"/>
        <sz val="10"/>
        <rFont val="WenQuanYi Zen Hei"/>
        <family val="2"/>
      </rPr>
      <t xml:space="preserve">税率（本表样例）</t>
    </r>
  </si>
  <si>
    <r>
      <rPr>
        <b val="true"/>
        <sz val="10"/>
        <rFont val="WenQuanYi Zen Hei"/>
        <family val="2"/>
      </rPr>
      <t xml:space="preserve">样例中 </t>
    </r>
    <r>
      <rPr>
        <b val="true"/>
        <sz val="10"/>
        <rFont val="Arial"/>
        <family val="0"/>
        <charset val="1"/>
      </rPr>
      <t xml:space="preserve">ЕТТ </t>
    </r>
    <r>
      <rPr>
        <b val="true"/>
        <sz val="10"/>
        <rFont val="WenQuanYi Zen Hei"/>
        <family val="2"/>
      </rPr>
      <t xml:space="preserve">税率为 </t>
    </r>
    <r>
      <rPr>
        <b val="true"/>
        <sz val="10"/>
        <rFont val="Arial"/>
        <family val="0"/>
        <charset val="1"/>
      </rPr>
      <t xml:space="preserve">0% </t>
    </r>
    <r>
      <rPr>
        <b val="true"/>
        <sz val="10"/>
        <rFont val="WenQuanYi Zen Hei"/>
        <family val="2"/>
      </rPr>
      <t xml:space="preserve">的行数</t>
    </r>
  </si>
  <si>
    <r>
      <rPr>
        <i val="true"/>
        <sz val="9"/>
        <color rgb="FF595959"/>
        <rFont val="WenQuanYi Zen Hei"/>
        <family val="2"/>
      </rPr>
      <t xml:space="preserve">说明：① 本表是样例，不是完整税则，样例平均值不代表全税则平均（全税则简单平均约 </t>
    </r>
    <r>
      <rPr>
        <i val="true"/>
        <sz val="9"/>
        <color rgb="FF595959"/>
        <rFont val="Arial"/>
        <family val="0"/>
        <charset val="1"/>
      </rPr>
      <t xml:space="preserve">6.6%</t>
    </r>
    <r>
      <rPr>
        <i val="true"/>
        <sz val="9"/>
        <color rgb="FF595959"/>
        <rFont val="WenQuanYi Zen Hei"/>
        <family val="2"/>
      </rPr>
      <t xml:space="preserve">，见“研究方法与论证”第 </t>
    </r>
    <r>
      <rPr>
        <i val="true"/>
        <sz val="9"/>
        <color rgb="FF595959"/>
        <rFont val="Arial"/>
        <family val="0"/>
        <charset val="1"/>
      </rPr>
      <t xml:space="preserve">3 </t>
    </r>
    <r>
      <rPr>
        <i val="true"/>
        <sz val="9"/>
        <color rgb="FF595959"/>
        <rFont val="WenQuanYi Zen Hei"/>
        <family val="2"/>
      </rPr>
      <t xml:space="preserve">步）。② </t>
    </r>
    <r>
      <rPr>
        <i val="true"/>
        <sz val="9"/>
        <color rgb="FF595959"/>
        <rFont val="Arial"/>
        <family val="0"/>
        <charset val="1"/>
      </rPr>
      <t xml:space="preserve">alta.ru / tks.ru </t>
    </r>
    <r>
      <rPr>
        <i val="true"/>
        <sz val="9"/>
        <color rgb="FF595959"/>
        <rFont val="WenQuanYi Zen Hei"/>
        <family val="2"/>
      </rPr>
      <t xml:space="preserve">为俄方报关数据库；白俄与俄罗斯适用同一部 </t>
    </r>
    <r>
      <rPr>
        <i val="true"/>
        <sz val="9"/>
        <color rgb="FF595959"/>
        <rFont val="Arial"/>
        <family val="0"/>
        <charset val="1"/>
      </rPr>
      <t xml:space="preserve">ЕТТ</t>
    </r>
    <r>
      <rPr>
        <i val="true"/>
        <sz val="9"/>
        <color rgb="FF595959"/>
        <rFont val="WenQuanYi Zen Hei"/>
        <family val="2"/>
      </rPr>
      <t xml:space="preserve">，但个别编码可能有国别关税优惠或例外。③ 从量税以欧元计，按报关当日白俄国家银行汇率折算为 </t>
    </r>
    <r>
      <rPr>
        <i val="true"/>
        <sz val="9"/>
        <color rgb="FF595959"/>
        <rFont val="Arial"/>
        <family val="0"/>
        <charset val="1"/>
      </rPr>
      <t xml:space="preserve">BYN</t>
    </r>
    <r>
      <rPr>
        <i val="true"/>
        <sz val="9"/>
        <color rgb="FF595959"/>
        <rFont val="WenQuanYi Zen Hei"/>
        <family val="2"/>
      </rPr>
      <t xml:space="preserve">。④ 可信度为“低”的行，务必在 </t>
    </r>
    <r>
      <rPr>
        <i val="true"/>
        <sz val="9"/>
        <color rgb="FF595959"/>
        <rFont val="Arial"/>
        <family val="0"/>
        <charset val="1"/>
      </rPr>
      <t xml:space="preserve">customs.gov.by/calc </t>
    </r>
    <r>
      <rPr>
        <i val="true"/>
        <sz val="9"/>
        <color rgb="FF595959"/>
        <rFont val="WenQuanYi Zen Hei"/>
        <family val="2"/>
      </rPr>
      <t xml:space="preserve">核实后再使用。</t>
    </r>
  </si>
  <si>
    <t xml:space="preserve">包括联盟普惠制、白俄获批的国别关税优惠、临时零税率、增值税减免和特殊经济区</t>
  </si>
  <si>
    <t xml:space="preserve">类别</t>
  </si>
  <si>
    <t xml:space="preserve">措施</t>
  </si>
  <si>
    <t xml:space="preserve">适用范围</t>
  </si>
  <si>
    <t xml:space="preserve">优惠内容</t>
  </si>
  <si>
    <r>
      <rPr>
        <b val="true"/>
        <sz val="10"/>
        <color rgb="FFFFFFFF"/>
        <rFont val="WenQuanYi Zen Hei"/>
        <family val="2"/>
      </rPr>
      <t xml:space="preserve">期限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生效</t>
    </r>
  </si>
  <si>
    <t xml:space="preserve">对中国企业的适用性</t>
  </si>
  <si>
    <t xml:space="preserve">普惠制</t>
  </si>
  <si>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统一关税优惠体系：发展中国家</t>
    </r>
  </si>
  <si>
    <r>
      <rPr>
        <sz val="10"/>
        <rFont val="Arial"/>
        <family val="0"/>
        <charset val="1"/>
      </rPr>
      <t xml:space="preserve">EEC </t>
    </r>
    <r>
      <rPr>
        <sz val="10"/>
        <rFont val="WenQuanYi Zen Hei"/>
        <family val="2"/>
      </rPr>
      <t xml:space="preserve">名单所列发展中国家原产、且列入优惠商品清单的商品</t>
    </r>
  </si>
  <si>
    <r>
      <rPr>
        <sz val="10"/>
        <rFont val="WenQuanYi Zen Hei"/>
        <family val="2"/>
      </rPr>
      <t xml:space="preserve">按 </t>
    </r>
    <r>
      <rPr>
        <sz val="10"/>
        <rFont val="Arial"/>
        <family val="0"/>
        <charset val="1"/>
      </rPr>
      <t xml:space="preserve">ЕТТ </t>
    </r>
    <r>
      <rPr>
        <sz val="10"/>
        <rFont val="WenQuanYi Zen Hei"/>
        <family val="2"/>
      </rPr>
      <t xml:space="preserve">税率的 </t>
    </r>
    <r>
      <rPr>
        <sz val="10"/>
        <rFont val="Arial"/>
        <family val="0"/>
        <charset val="1"/>
      </rPr>
      <t xml:space="preserve">75% </t>
    </r>
    <r>
      <rPr>
        <sz val="10"/>
        <rFont val="WenQuanYi Zen Hei"/>
        <family val="2"/>
      </rPr>
      <t xml:space="preserve">征收（减免 </t>
    </r>
    <r>
      <rPr>
        <sz val="10"/>
        <rFont val="Arial"/>
        <family val="0"/>
        <charset val="1"/>
      </rPr>
      <t xml:space="preserve">25%</t>
    </r>
    <r>
      <rPr>
        <sz val="10"/>
        <rFont val="WenQuanYi Zen Hei"/>
        <family val="2"/>
      </rPr>
      <t xml:space="preserve">）</t>
    </r>
  </si>
  <si>
    <t xml:space="preserve">长期</t>
  </si>
  <si>
    <r>
      <rPr>
        <sz val="10"/>
        <rFont val="WenQuanYi Zen Hei"/>
        <family val="2"/>
      </rPr>
      <t xml:space="preserve">不适用：中国已于 </t>
    </r>
    <r>
      <rPr>
        <sz val="10"/>
        <rFont val="Arial"/>
        <family val="0"/>
        <charset val="1"/>
      </rPr>
      <t xml:space="preserve">2021 </t>
    </r>
    <r>
      <rPr>
        <sz val="10"/>
        <rFont val="WenQuanYi Zen Hei"/>
        <family val="2"/>
      </rPr>
      <t xml:space="preserve">年被移出名单</t>
    </r>
  </si>
  <si>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统一关税优惠体系：最不发达国家</t>
    </r>
  </si>
  <si>
    <r>
      <rPr>
        <sz val="10"/>
        <rFont val="Arial"/>
        <family val="0"/>
        <charset val="1"/>
      </rPr>
      <t xml:space="preserve">EEC </t>
    </r>
    <r>
      <rPr>
        <sz val="10"/>
        <rFont val="WenQuanYi Zen Hei"/>
        <family val="2"/>
      </rPr>
      <t xml:space="preserve">名单所列最不发达国家原产、且列入优惠商品清单的商品</t>
    </r>
  </si>
  <si>
    <t xml:space="preserve">不适用</t>
  </si>
  <si>
    <t xml:space="preserve">S005</t>
  </si>
  <si>
    <t xml:space="preserve">普惠制名单调整</t>
  </si>
  <si>
    <r>
      <rPr>
        <sz val="10"/>
        <rFont val="Arial"/>
        <family val="0"/>
        <charset val="1"/>
      </rPr>
      <t xml:space="preserve">2021 </t>
    </r>
    <r>
      <rPr>
        <sz val="10"/>
        <rFont val="WenQuanYi Zen Hei"/>
        <family val="2"/>
      </rPr>
      <t xml:space="preserve">年大幅缩减受惠国</t>
    </r>
  </si>
  <si>
    <r>
      <rPr>
        <sz val="10"/>
        <rFont val="WenQuanYi Zen Hei"/>
        <family val="2"/>
      </rPr>
      <t xml:space="preserve">移出 </t>
    </r>
    <r>
      <rPr>
        <sz val="10"/>
        <rFont val="Arial"/>
        <family val="0"/>
        <charset val="1"/>
      </rPr>
      <t xml:space="preserve">75 </t>
    </r>
    <r>
      <rPr>
        <sz val="10"/>
        <rFont val="WenQuanYi Zen Hei"/>
        <family val="2"/>
      </rPr>
      <t xml:space="preserve">个发展中国家和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个最不发达国家（共 </t>
    </r>
    <r>
      <rPr>
        <sz val="10"/>
        <rFont val="Arial"/>
        <family val="0"/>
        <charset val="1"/>
      </rPr>
      <t xml:space="preserve">77 </t>
    </r>
    <r>
      <rPr>
        <sz val="10"/>
        <rFont val="WenQuanYi Zen Hei"/>
        <family val="2"/>
      </rPr>
      <t xml:space="preserve">国）</t>
    </r>
  </si>
  <si>
    <t xml:space="preserve">理由：这些国家的产品竞争力和经济水平已超过门槛；中国、巴西、土耳其、韩国、新加坡等转为基本税率</t>
  </si>
  <si>
    <r>
      <rPr>
        <sz val="10"/>
        <rFont val="Arial"/>
        <family val="0"/>
        <charset val="1"/>
      </rPr>
      <t xml:space="preserve">2021 </t>
    </r>
    <r>
      <rPr>
        <sz val="10"/>
        <rFont val="WenQuanYi Zen Hei"/>
        <family val="2"/>
      </rPr>
      <t xml:space="preserve">年决定</t>
    </r>
  </si>
  <si>
    <r>
      <rPr>
        <sz val="10"/>
        <rFont val="WenQuanYi Zen Hei"/>
        <family val="2"/>
      </rPr>
      <t xml:space="preserve">中国出口商不再享受 </t>
    </r>
    <r>
      <rPr>
        <sz val="10"/>
        <rFont val="Arial"/>
        <family val="0"/>
        <charset val="1"/>
      </rPr>
      <t xml:space="preserve">25% </t>
    </r>
    <r>
      <rPr>
        <sz val="10"/>
        <rFont val="WenQuanYi Zen Hei"/>
        <family val="2"/>
      </rPr>
      <t xml:space="preserve">减免</t>
    </r>
  </si>
  <si>
    <t xml:space="preserve">S070, S071, S117</t>
  </si>
  <si>
    <r>
      <rPr>
        <sz val="10"/>
        <rFont val="Arial"/>
        <family val="0"/>
        <charset val="1"/>
      </rPr>
      <t xml:space="preserve">2025-05-08 EEC </t>
    </r>
    <r>
      <rPr>
        <sz val="10"/>
        <rFont val="WenQuanYi Zen Hei"/>
        <family val="2"/>
      </rPr>
      <t xml:space="preserve">理事会决定</t>
    </r>
  </si>
  <si>
    <t xml:space="preserve">受惠国名单</t>
  </si>
  <si>
    <t xml:space="preserve">新增约旦、黎巴嫩、萨摩亚为发展中受惠国；移出马绍尔群岛、萨尔瓦多；不丹、圣多美和普林西比由最不发达国家改为发展中国家</t>
  </si>
  <si>
    <t xml:space="preserve">2025</t>
  </si>
  <si>
    <t xml:space="preserve">S033</t>
  </si>
  <si>
    <t xml:space="preserve">普惠制规则</t>
  </si>
  <si>
    <r>
      <rPr>
        <sz val="10"/>
        <rFont val="Arial"/>
        <family val="0"/>
        <charset val="1"/>
      </rPr>
      <t xml:space="preserve">2025-11 EEC </t>
    </r>
    <r>
      <rPr>
        <sz val="10"/>
        <rFont val="WenQuanYi Zen Hei"/>
        <family val="2"/>
      </rPr>
      <t xml:space="preserve">理事会修订 </t>
    </r>
    <r>
      <rPr>
        <sz val="10"/>
        <rFont val="Arial"/>
        <family val="0"/>
        <charset val="1"/>
      </rPr>
      <t xml:space="preserve">ЕСТП </t>
    </r>
    <r>
      <rPr>
        <sz val="10"/>
        <rFont val="WenQuanYi Zen Hei"/>
        <family val="2"/>
      </rPr>
      <t xml:space="preserve">条例</t>
    </r>
  </si>
  <si>
    <t xml:space="preserve">被联合国移出最不发达国家类别的国家</t>
  </si>
  <si>
    <t xml:space="preserve">增设过渡期，期间仍可享受优惠</t>
  </si>
  <si>
    <r>
      <rPr>
        <sz val="10"/>
        <rFont val="WenQuanYi Zen Hei"/>
        <family val="2"/>
      </rPr>
      <t xml:space="preserve">公布后 </t>
    </r>
    <r>
      <rPr>
        <sz val="10"/>
        <rFont val="Arial"/>
        <family val="0"/>
        <charset val="1"/>
      </rPr>
      <t xml:space="preserve">30 </t>
    </r>
    <r>
      <rPr>
        <sz val="10"/>
        <rFont val="WenQuanYi Zen Hei"/>
        <family val="2"/>
      </rPr>
      <t xml:space="preserve">日生效</t>
    </r>
  </si>
  <si>
    <t xml:space="preserve">S034</t>
  </si>
  <si>
    <t xml:space="preserve">原产地</t>
  </si>
  <si>
    <t xml:space="preserve">优惠商品原产地简化证明程序</t>
  </si>
  <si>
    <t xml:space="preserve">享受优惠的商品</t>
  </si>
  <si>
    <r>
      <rPr>
        <sz val="10"/>
        <rFont val="WenQuanYi Zen Hei"/>
        <family val="2"/>
      </rPr>
      <t xml:space="preserve">简化程序延长至 </t>
    </r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</rPr>
      <t xml:space="preserve">年</t>
    </r>
  </si>
  <si>
    <r>
      <rPr>
        <sz val="10"/>
        <rFont val="WenQuanYi Zen Hei"/>
        <family val="2"/>
      </rPr>
      <t xml:space="preserve">至 </t>
    </r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</rPr>
      <t xml:space="preserve">年</t>
    </r>
  </si>
  <si>
    <t xml:space="preserve">S035</t>
  </si>
  <si>
    <t xml:space="preserve">国别关税优惠</t>
  </si>
  <si>
    <t xml:space="preserve">牛肉免关税</t>
  </si>
  <si>
    <r>
      <rPr>
        <sz val="10"/>
        <rFont val="WenQuanYi Zen Hei"/>
        <family val="2"/>
      </rPr>
      <t xml:space="preserve">白俄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年进口的牛肉</t>
    </r>
  </si>
  <si>
    <r>
      <rPr>
        <sz val="10"/>
        <rFont val="Arial"/>
        <family val="0"/>
        <charset val="1"/>
      </rPr>
      <t xml:space="preserve">7,500 </t>
    </r>
    <r>
      <rPr>
        <sz val="10"/>
        <rFont val="WenQuanYi Zen Hei"/>
        <family val="2"/>
      </rPr>
      <t xml:space="preserve">吨免进口关税</t>
    </r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</si>
  <si>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</t>
    </r>
  </si>
  <si>
    <t xml:space="preserve">由农业与食品部会同各州执委会分配给肉类加工企业</t>
  </si>
  <si>
    <t xml:space="preserve">电动车免关税配额</t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</si>
  <si>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年进口纯电动车（不含各类混动）</t>
    </r>
  </si>
  <si>
    <r>
      <rPr>
        <sz val="10"/>
        <rFont val="WenQuanYi Zen Hei"/>
        <family val="2"/>
      </rPr>
      <t xml:space="preserve">配额 </t>
    </r>
    <r>
      <rPr>
        <sz val="10"/>
        <rFont val="Arial"/>
        <family val="0"/>
        <charset val="1"/>
      </rPr>
      <t xml:space="preserve">20,000 </t>
    </r>
    <r>
      <rPr>
        <sz val="10"/>
        <rFont val="WenQuanYi Zen Hei"/>
        <family val="2"/>
      </rPr>
      <t xml:space="preserve">辆：法人 </t>
    </r>
    <r>
      <rPr>
        <sz val="10"/>
        <rFont val="Arial"/>
        <family val="0"/>
        <charset val="1"/>
      </rPr>
      <t xml:space="preserve">13,800 </t>
    </r>
    <r>
      <rPr>
        <sz val="10"/>
        <rFont val="WenQuanYi Zen Hei"/>
        <family val="2"/>
      </rPr>
      <t xml:space="preserve">辆，个人 </t>
    </r>
    <r>
      <rPr>
        <sz val="10"/>
        <rFont val="Arial"/>
        <family val="0"/>
        <charset val="1"/>
      </rPr>
      <t xml:space="preserve">6,200 </t>
    </r>
    <r>
      <rPr>
        <sz val="10"/>
        <rFont val="WenQuanYi Zen Hei"/>
        <family val="2"/>
      </rPr>
      <t xml:space="preserve">辆</t>
    </r>
  </si>
  <si>
    <r>
      <rPr>
        <sz val="10"/>
        <rFont val="Arial"/>
        <family val="0"/>
        <charset val="1"/>
      </rPr>
      <t xml:space="preserve">2026-01-22 </t>
    </r>
    <r>
      <rPr>
        <sz val="10"/>
        <rFont val="WenQuanYi Zen Hei"/>
        <family val="2"/>
      </rPr>
      <t xml:space="preserve">起；法人和个人配额均已用完</t>
    </r>
  </si>
  <si>
    <r>
      <rPr>
        <sz val="10"/>
        <rFont val="WenQuanYi Zen Hei"/>
        <family val="2"/>
      </rPr>
      <t xml:space="preserve">中国产电动车是主要受益者，但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年配额已用完</t>
    </r>
  </si>
  <si>
    <t xml:space="preserve">S044, S021, S076, S075</t>
  </si>
  <si>
    <t xml:space="preserve">联盟临时零税率</t>
  </si>
  <si>
    <t xml:space="preserve">原材料零关税</t>
  </si>
  <si>
    <t xml:space="preserve">锰矿砂及精矿；钛废碎料；铌铁；贵金属废碎料</t>
  </si>
  <si>
    <r>
      <rPr>
        <sz val="10"/>
        <rFont val="WenQuanYi Zen Hei"/>
        <family val="2"/>
      </rPr>
      <t xml:space="preserve">分别至 </t>
    </r>
    <r>
      <rPr>
        <sz val="10"/>
        <rFont val="Arial"/>
        <family val="0"/>
        <charset val="1"/>
      </rPr>
      <t xml:space="preserve">2028-08-31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2028-08-31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2028-02-29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2028-12-31</t>
    </r>
  </si>
  <si>
    <t xml:space="preserve">适用于所有原产地（含中国）</t>
  </si>
  <si>
    <t xml:space="preserve">S086, S087, S088</t>
  </si>
  <si>
    <t xml:space="preserve">农产品和化工品零关税</t>
  </si>
  <si>
    <t xml:space="preserve">部分坚果、籽仁、果核；硫化钠；纤维素醚</t>
  </si>
  <si>
    <r>
      <rPr>
        <sz val="10"/>
        <rFont val="WenQuanYi Zen Hei"/>
        <family val="2"/>
      </rPr>
      <t xml:space="preserve">坚果类为期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年（</t>
    </r>
    <r>
      <rPr>
        <sz val="10"/>
        <rFont val="Arial"/>
        <family val="0"/>
        <charset val="1"/>
      </rPr>
      <t xml:space="preserve">2025-12 </t>
    </r>
    <r>
      <rPr>
        <sz val="10"/>
        <rFont val="WenQuanYi Zen Hei"/>
        <family val="2"/>
      </rPr>
      <t xml:space="preserve">决定）</t>
    </r>
  </si>
  <si>
    <t xml:space="preserve">适用于所有原产地</t>
  </si>
  <si>
    <t xml:space="preserve">S067, S089</t>
  </si>
  <si>
    <t xml:space="preserve">增值税减免</t>
  </si>
  <si>
    <t xml:space="preserve">本国无同类产品的技术设备</t>
  </si>
  <si>
    <t xml:space="preserve">技术设备及配件、备件</t>
  </si>
  <si>
    <r>
      <rPr>
        <sz val="10"/>
        <rFont val="WenQuanYi Zen Hei"/>
        <family val="2"/>
      </rPr>
      <t xml:space="preserve">免进口增值税（需取得“无同类产品”结论，由白俄工商会明斯克分会在 </t>
    </r>
    <r>
      <rPr>
        <sz val="10"/>
        <rFont val="Arial"/>
        <family val="0"/>
        <charset val="1"/>
      </rPr>
      <t xml:space="preserve">15 </t>
    </r>
    <r>
      <rPr>
        <sz val="10"/>
        <rFont val="WenQuanYi Zen Hei"/>
        <family val="2"/>
      </rPr>
      <t xml:space="preserve">个工作日内出具）</t>
    </r>
  </si>
  <si>
    <r>
      <rPr>
        <sz val="10"/>
        <rFont val="WenQuanYi Zen Hei"/>
        <family val="2"/>
      </rPr>
      <t xml:space="preserve">总统令 </t>
    </r>
    <r>
      <rPr>
        <sz val="10"/>
        <rFont val="Arial"/>
        <family val="0"/>
        <charset val="1"/>
      </rPr>
      <t xml:space="preserve">2024-03-04 </t>
    </r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77 </t>
    </r>
    <r>
      <rPr>
        <sz val="10"/>
        <rFont val="WenQuanYi Zen Hei"/>
        <family val="2"/>
      </rPr>
      <t xml:space="preserve">号；清单见部长会议 </t>
    </r>
    <r>
      <rPr>
        <sz val="10"/>
        <rFont val="Arial"/>
        <family val="0"/>
        <charset val="1"/>
      </rPr>
      <t xml:space="preserve">2024-06-05 </t>
    </r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408 </t>
    </r>
    <r>
      <rPr>
        <sz val="10"/>
        <rFont val="WenQuanYi Zen Hei"/>
        <family val="2"/>
      </rPr>
      <t xml:space="preserve">号决议，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年扩大</t>
    </r>
  </si>
  <si>
    <t xml:space="preserve">适用：中国设备的白俄买方可申请</t>
  </si>
  <si>
    <t xml:space="preserve">S066, S090</t>
  </si>
  <si>
    <t xml:space="preserve">个人进口电动车</t>
  </si>
  <si>
    <r>
      <rPr>
        <sz val="10"/>
        <rFont val="WenQuanYi Zen Hei"/>
        <family val="2"/>
      </rPr>
      <t xml:space="preserve">出厂 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年以内的纯电动车</t>
    </r>
  </si>
  <si>
    <t xml:space="preserve">免增值税</t>
  </si>
  <si>
    <r>
      <rPr>
        <sz val="10"/>
        <rFont val="WenQuanYi Zen Hei"/>
        <family val="2"/>
      </rPr>
      <t xml:space="preserve">延长至 </t>
    </r>
    <r>
      <rPr>
        <sz val="10"/>
        <rFont val="Arial"/>
        <family val="0"/>
        <charset val="1"/>
      </rPr>
      <t xml:space="preserve">2028-12-31</t>
    </r>
  </si>
  <si>
    <t xml:space="preserve">适用于个人进口</t>
  </si>
  <si>
    <t xml:space="preserve">S075, S042</t>
  </si>
  <si>
    <t xml:space="preserve">特殊经济区</t>
  </si>
  <si>
    <t xml:space="preserve">中白工业园“巨石”</t>
  </si>
  <si>
    <t xml:space="preserve">入驻企业及合资公司</t>
  </si>
  <si>
    <t xml:space="preserve">为投资项目进口的技术设备、配件、备件、原材料免进口关税和增值税（需出具用途结论）；园区内用外国原料生产的商品免“进口”增值税</t>
  </si>
  <si>
    <r>
      <rPr>
        <sz val="10"/>
        <rFont val="WenQuanYi Zen Hei"/>
        <family val="2"/>
      </rPr>
      <t xml:space="preserve">总统令 </t>
    </r>
    <r>
      <rPr>
        <sz val="10"/>
        <rFont val="Arial"/>
        <family val="0"/>
        <charset val="1"/>
      </rPr>
      <t xml:space="preserve">2017-05-12 </t>
    </r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166 </t>
    </r>
    <r>
      <rPr>
        <sz val="10"/>
        <rFont val="WenQuanYi Zen Hei"/>
        <family val="2"/>
      </rPr>
      <t xml:space="preserve">号</t>
    </r>
  </si>
  <si>
    <t xml:space="preserve">与中国企业高度相关</t>
  </si>
  <si>
    <t xml:space="preserve">中白工业园“巨石”税收优惠</t>
  </si>
  <si>
    <t xml:space="preserve">入驻企业</t>
  </si>
  <si>
    <r>
      <rPr>
        <sz val="10"/>
        <rFont val="WenQuanYi Zen Hei"/>
        <family val="2"/>
      </rPr>
      <t xml:space="preserve">土地税、不动产税免征至 </t>
    </r>
    <r>
      <rPr>
        <sz val="10"/>
        <rFont val="Arial"/>
        <family val="0"/>
        <charset val="1"/>
      </rPr>
      <t xml:space="preserve">2062 </t>
    </r>
    <r>
      <rPr>
        <sz val="10"/>
        <rFont val="WenQuanYi Zen Hei"/>
        <family val="2"/>
      </rPr>
      <t xml:space="preserve">年；利润税前 </t>
    </r>
    <r>
      <rPr>
        <sz val="10"/>
        <rFont val="Arial"/>
        <family val="0"/>
        <charset val="1"/>
      </rPr>
      <t xml:space="preserve">10 </t>
    </r>
    <r>
      <rPr>
        <sz val="10"/>
        <rFont val="WenQuanYi Zen Hei"/>
        <family val="2"/>
      </rPr>
      <t xml:space="preserve">年免征、之后减半（摘要信息）</t>
    </r>
  </si>
  <si>
    <r>
      <rPr>
        <sz val="10"/>
        <rFont val="WenQuanYi Zen Hei"/>
        <family val="2"/>
      </rPr>
      <t xml:space="preserve">至 </t>
    </r>
    <r>
      <rPr>
        <sz val="10"/>
        <rFont val="Arial"/>
        <family val="0"/>
        <charset val="1"/>
      </rPr>
      <t xml:space="preserve">2062 </t>
    </r>
    <r>
      <rPr>
        <sz val="10"/>
        <rFont val="WenQuanYi Zen Hei"/>
        <family val="2"/>
      </rPr>
      <t xml:space="preserve">年</t>
    </r>
  </si>
  <si>
    <t xml:space="preserve">S105</t>
  </si>
  <si>
    <t xml:space="preserve">见“自贸协定”表</t>
  </si>
  <si>
    <t xml:space="preserve">S007</t>
  </si>
  <si>
    <t xml:space="preserve">自由贸易协定与贸易安排</t>
  </si>
  <si>
    <r>
      <rPr>
        <i val="true"/>
        <sz val="9"/>
        <color rgb="FF595959"/>
        <rFont val="WenQuanYi Zen Hei"/>
        <family val="2"/>
      </rPr>
      <t xml:space="preserve">“状态”按截至 </t>
    </r>
    <r>
      <rPr>
        <i val="true"/>
        <sz val="9"/>
        <color rgb="FF595959"/>
        <rFont val="Arial"/>
        <family val="0"/>
        <charset val="1"/>
      </rPr>
      <t xml:space="preserve">2026-09-30 </t>
    </r>
    <r>
      <rPr>
        <i val="true"/>
        <sz val="9"/>
        <color rgb="FF595959"/>
        <rFont val="WenQuanYi Zen Hei"/>
        <family val="2"/>
      </rPr>
      <t xml:space="preserve">的信息；“对白俄进口的影响”指协定伙伴的商品进入白俄时的关税待遇</t>
    </r>
  </si>
  <si>
    <r>
      <rPr>
        <b val="true"/>
        <sz val="10"/>
        <color rgb="FFFFFFFF"/>
        <rFont val="WenQuanYi Zen Hei"/>
        <family val="2"/>
      </rPr>
      <t xml:space="preserve">协定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安排</t>
    </r>
  </si>
  <si>
    <t xml:space="preserve">缔约方</t>
  </si>
  <si>
    <t xml:space="preserve">类型</t>
  </si>
  <si>
    <t xml:space="preserve">签署日期</t>
  </si>
  <si>
    <r>
      <rPr>
        <b val="true"/>
        <sz val="10"/>
        <color rgb="FFFFFFFF"/>
        <rFont val="WenQuanYi Zen Hei"/>
        <family val="2"/>
      </rPr>
      <t xml:space="preserve">生效日期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状态</t>
    </r>
  </si>
  <si>
    <t xml:space="preserve">主要关税内容</t>
  </si>
  <si>
    <t xml:space="preserve">对白俄进口的影响</t>
  </si>
  <si>
    <t xml:space="preserve">欧亚经济联盟内部市场</t>
  </si>
  <si>
    <t xml:space="preserve">白俄、俄罗斯、哈萨克斯坦、亚美尼亚、吉尔吉斯斯坦</t>
  </si>
  <si>
    <r>
      <rPr>
        <sz val="10"/>
        <rFont val="WenQuanYi Zen Hei"/>
        <family val="2"/>
      </rPr>
      <t xml:space="preserve">关税同盟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共同市场</t>
    </r>
  </si>
  <si>
    <t xml:space="preserve">2014-05-29</t>
  </si>
  <si>
    <r>
      <rPr>
        <sz val="10"/>
        <rFont val="Arial"/>
        <family val="0"/>
        <charset val="1"/>
      </rPr>
      <t xml:space="preserve">2015-01-01 </t>
    </r>
    <r>
      <rPr>
        <sz val="10"/>
        <rFont val="WenQuanYi Zen Hei"/>
        <family val="2"/>
      </rPr>
      <t xml:space="preserve">生效</t>
    </r>
  </si>
  <si>
    <t xml:space="preserve">成员国原产商品零关税，无海关边境</t>
  </si>
  <si>
    <t xml:space="preserve">自俄罗斯等成员国进口无关税，增值税向税务机关缴纳</t>
  </si>
  <si>
    <t xml:space="preserve">独联体自由贸易区条约</t>
  </si>
  <si>
    <t xml:space="preserve">亚美尼亚、白俄、哈萨克斯坦、吉尔吉斯斯坦、摩尔多瓦、俄罗斯、塔吉克斯坦、乌克兰；乌兹别克斯坦另行加入</t>
  </si>
  <si>
    <t xml:space="preserve">多边自贸协定</t>
  </si>
  <si>
    <t xml:space="preserve">2011-10-18</t>
  </si>
  <si>
    <t xml:space="preserve">已生效</t>
  </si>
  <si>
    <t xml:space="preserve">相互贸易原则上免进口关税（有例外清单）</t>
  </si>
  <si>
    <r>
      <rPr>
        <sz val="10"/>
        <rFont val="WenQuanYi Zen Hei"/>
        <family val="2"/>
      </rPr>
      <t xml:space="preserve">白俄与乌兹别克斯坦之间不适用进口关税；与乌克兰的实际贸易受 </t>
    </r>
    <r>
      <rPr>
        <sz val="10"/>
        <rFont val="Arial"/>
        <family val="0"/>
        <charset val="1"/>
      </rPr>
      <t xml:space="preserve">2022 </t>
    </r>
    <r>
      <rPr>
        <sz val="10"/>
        <rFont val="WenQuanYi Zen Hei"/>
        <family val="2"/>
      </rPr>
      <t xml:space="preserve">年后局势影响，本次未核实</t>
    </r>
  </si>
  <si>
    <t xml:space="preserve">S007, S063, S104</t>
  </si>
  <si>
    <r>
      <rPr>
        <sz val="10"/>
        <rFont val="Arial"/>
        <family val="0"/>
        <charset val="1"/>
      </rPr>
      <t xml:space="preserve">1994-04-15 </t>
    </r>
    <r>
      <rPr>
        <sz val="10"/>
        <rFont val="WenQuanYi Zen Hei"/>
        <family val="2"/>
      </rPr>
      <t xml:space="preserve">自贸区协定</t>
    </r>
  </si>
  <si>
    <r>
      <rPr>
        <sz val="10"/>
        <rFont val="WenQuanYi Zen Hei"/>
        <family val="2"/>
      </rPr>
      <t xml:space="preserve">尚未适用 </t>
    </r>
    <r>
      <rPr>
        <sz val="10"/>
        <rFont val="Arial"/>
        <family val="0"/>
        <charset val="1"/>
      </rPr>
      <t xml:space="preserve">2011 </t>
    </r>
    <r>
      <rPr>
        <sz val="10"/>
        <rFont val="WenQuanYi Zen Hei"/>
        <family val="2"/>
      </rPr>
      <t xml:space="preserve">年条约的独联体国家（如阿塞拜疆）</t>
    </r>
  </si>
  <si>
    <t xml:space="preserve">1994-04-15</t>
  </si>
  <si>
    <t xml:space="preserve">继续适用</t>
  </si>
  <si>
    <t xml:space="preserve">自贸待遇</t>
  </si>
  <si>
    <t xml:space="preserve">与阿塞拜疆之间继续适用</t>
  </si>
  <si>
    <t xml:space="preserve">白俄双边自贸协定</t>
  </si>
  <si>
    <t xml:space="preserve">阿塞拜疆、亚美尼亚、哈萨克斯坦、吉尔吉斯斯坦、摩尔多瓦、俄罗斯、塞尔维亚、塔吉克斯坦、土库曼斯坦、乌兹别克斯坦、乌克兰</t>
  </si>
  <si>
    <t xml:space="preserve">双边自贸协定</t>
  </si>
  <si>
    <t xml:space="preserve">外交部列为有效</t>
  </si>
  <si>
    <t xml:space="preserve">双边自贸待遇</t>
  </si>
  <si>
    <t xml:space="preserve">与多边安排叠加</t>
  </si>
  <si>
    <r>
      <rPr>
        <sz val="10"/>
        <rFont val="Arial"/>
        <family val="0"/>
        <charset val="1"/>
      </rPr>
      <t xml:space="preserve">EAEU–</t>
    </r>
    <r>
      <rPr>
        <sz val="10"/>
        <rFont val="WenQuanYi Zen Hei"/>
        <family val="2"/>
      </rPr>
      <t xml:space="preserve">越南自贸协定</t>
    </r>
  </si>
  <si>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五国、越南</t>
    </r>
  </si>
  <si>
    <t xml:space="preserve">2015-05-29</t>
  </si>
  <si>
    <r>
      <rPr>
        <sz val="10"/>
        <rFont val="Arial"/>
        <family val="0"/>
        <charset val="1"/>
      </rPr>
      <t xml:space="preserve">2016-10-05 </t>
    </r>
    <r>
      <rPr>
        <sz val="10"/>
        <rFont val="WenQuanYi Zen Hei"/>
        <family val="2"/>
      </rPr>
      <t xml:space="preserve">生效</t>
    </r>
  </si>
  <si>
    <t xml:space="preserve">大部分税目逐步降为零</t>
  </si>
  <si>
    <t xml:space="preserve">越南商品在白俄享有优惠（与中国商品竞争）</t>
  </si>
  <si>
    <r>
      <rPr>
        <sz val="10"/>
        <rFont val="Arial"/>
        <family val="0"/>
        <charset val="1"/>
      </rPr>
      <t xml:space="preserve">EAEU–</t>
    </r>
    <r>
      <rPr>
        <sz val="10"/>
        <rFont val="WenQuanYi Zen Hei"/>
        <family val="2"/>
      </rPr>
      <t xml:space="preserve">塞尔维亚自贸协定</t>
    </r>
  </si>
  <si>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五国、塞尔维亚</t>
    </r>
  </si>
  <si>
    <r>
      <rPr>
        <sz val="10"/>
        <rFont val="Arial"/>
        <family val="0"/>
        <charset val="1"/>
      </rPr>
      <t xml:space="preserve">2021-07-10 </t>
    </r>
    <r>
      <rPr>
        <sz val="10"/>
        <rFont val="WenQuanYi Zen Hei"/>
        <family val="2"/>
      </rPr>
      <t xml:space="preserve">生效</t>
    </r>
  </si>
  <si>
    <t xml:space="preserve">统一并替代此前的双边安排</t>
  </si>
  <si>
    <r>
      <rPr>
        <sz val="10"/>
        <rFont val="Arial"/>
        <family val="0"/>
        <charset val="1"/>
      </rPr>
      <t xml:space="preserve">EAEU–</t>
    </r>
    <r>
      <rPr>
        <sz val="10"/>
        <rFont val="WenQuanYi Zen Hei"/>
        <family val="2"/>
      </rPr>
      <t xml:space="preserve">伊朗全面自贸协定</t>
    </r>
  </si>
  <si>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五国、伊朗</t>
    </r>
  </si>
  <si>
    <r>
      <rPr>
        <sz val="10"/>
        <rFont val="Arial"/>
        <family val="0"/>
        <charset val="1"/>
      </rPr>
      <t xml:space="preserve">2023-12-25</t>
    </r>
    <r>
      <rPr>
        <sz val="10"/>
        <rFont val="WenQuanYi Zen Hei"/>
        <family val="2"/>
      </rPr>
      <t xml:space="preserve">（圣彼得堡）</t>
    </r>
  </si>
  <si>
    <r>
      <rPr>
        <sz val="10"/>
        <rFont val="Arial"/>
        <family val="0"/>
        <charset val="1"/>
      </rPr>
      <t xml:space="preserve">2025-05-15 </t>
    </r>
    <r>
      <rPr>
        <sz val="10"/>
        <rFont val="WenQuanYi Zen Hei"/>
        <family val="2"/>
      </rPr>
      <t xml:space="preserve">生效</t>
    </r>
  </si>
  <si>
    <r>
      <rPr>
        <sz val="10"/>
        <rFont val="WenQuanYi Zen Hei"/>
        <family val="2"/>
      </rPr>
      <t xml:space="preserve">约 </t>
    </r>
    <r>
      <rPr>
        <sz val="10"/>
        <rFont val="Arial"/>
        <family val="0"/>
        <charset val="1"/>
      </rPr>
      <t xml:space="preserve">90% </t>
    </r>
    <r>
      <rPr>
        <sz val="10"/>
        <rFont val="WenQuanYi Zen Hei"/>
        <family val="2"/>
      </rPr>
      <t xml:space="preserve">税目免关税；此前 </t>
    </r>
    <r>
      <rPr>
        <sz val="10"/>
        <rFont val="Arial"/>
        <family val="0"/>
        <charset val="1"/>
      </rPr>
      <t xml:space="preserve">2019 </t>
    </r>
    <r>
      <rPr>
        <sz val="10"/>
        <rFont val="WenQuanYi Zen Hei"/>
        <family val="2"/>
      </rPr>
      <t xml:space="preserve">年起实施有限商品的临时协定</t>
    </r>
  </si>
  <si>
    <t xml:space="preserve">伊朗商品在白俄享有优惠</t>
  </si>
  <si>
    <t xml:space="preserve">S060, S059</t>
  </si>
  <si>
    <r>
      <rPr>
        <sz val="10"/>
        <rFont val="Arial"/>
        <family val="0"/>
        <charset val="1"/>
      </rPr>
      <t xml:space="preserve">EAEU–</t>
    </r>
    <r>
      <rPr>
        <sz val="10"/>
        <rFont val="WenQuanYi Zen Hei"/>
        <family val="2"/>
      </rPr>
      <t xml:space="preserve">新加坡自贸协定</t>
    </r>
  </si>
  <si>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五国、新加坡</t>
    </r>
  </si>
  <si>
    <t xml:space="preserve">2019-10-01</t>
  </si>
  <si>
    <t xml:space="preserve">状态存在矛盾：外交部“贸易制度”页称因与服务、投资谈判挂钩尚未生效；另一摘要称已生效</t>
  </si>
  <si>
    <t xml:space="preserve">需核实</t>
  </si>
  <si>
    <t xml:space="preserve">S007, S061</t>
  </si>
  <si>
    <r>
      <rPr>
        <sz val="10"/>
        <rFont val="Arial"/>
        <family val="0"/>
        <charset val="1"/>
      </rPr>
      <t xml:space="preserve">EAEU–</t>
    </r>
    <r>
      <rPr>
        <sz val="10"/>
        <rFont val="WenQuanYi Zen Hei"/>
        <family val="2"/>
      </rPr>
      <t xml:space="preserve">蒙古临时贸易协定</t>
    </r>
  </si>
  <si>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五国、蒙古</t>
    </r>
  </si>
  <si>
    <t xml:space="preserve">临时贸易协定</t>
  </si>
  <si>
    <t xml:space="preserve">2025-06-27</t>
  </si>
  <si>
    <r>
      <rPr>
        <sz val="10"/>
        <rFont val="Arial"/>
        <family val="0"/>
        <charset val="1"/>
      </rPr>
      <t xml:space="preserve">2026-07-22 </t>
    </r>
    <r>
      <rPr>
        <sz val="10"/>
        <rFont val="WenQuanYi Zen Hei"/>
        <family val="2"/>
      </rPr>
      <t xml:space="preserve">生效</t>
    </r>
  </si>
  <si>
    <r>
      <rPr>
        <sz val="10"/>
        <rFont val="WenQuanYi Zen Hei"/>
        <family val="2"/>
      </rPr>
      <t xml:space="preserve">双方各对 </t>
    </r>
    <r>
      <rPr>
        <sz val="10"/>
        <rFont val="Arial"/>
        <family val="0"/>
        <charset val="1"/>
      </rPr>
      <t xml:space="preserve">367 </t>
    </r>
    <r>
      <rPr>
        <sz val="10"/>
        <rFont val="WenQuanYi Zen Hei"/>
        <family val="2"/>
      </rPr>
      <t xml:space="preserve">个税目取消或降低关税，约覆盖 </t>
    </r>
    <r>
      <rPr>
        <sz val="10"/>
        <rFont val="Arial"/>
        <family val="0"/>
        <charset val="1"/>
      </rPr>
      <t xml:space="preserve">90% </t>
    </r>
    <r>
      <rPr>
        <sz val="10"/>
        <rFont val="WenQuanYi Zen Hei"/>
        <family val="2"/>
      </rPr>
      <t xml:space="preserve">贸易额；期限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年，可自动延长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年</t>
    </r>
  </si>
  <si>
    <t xml:space="preserve">蒙古商品在清单范围内享有优惠</t>
  </si>
  <si>
    <t xml:space="preserve">S083</t>
  </si>
  <si>
    <r>
      <rPr>
        <sz val="10"/>
        <rFont val="Arial"/>
        <family val="0"/>
        <charset val="1"/>
      </rPr>
      <t xml:space="preserve">EAEU–</t>
    </r>
    <r>
      <rPr>
        <sz val="10"/>
        <rFont val="WenQuanYi Zen Hei"/>
        <family val="2"/>
      </rPr>
      <t xml:space="preserve">阿联酋经济伙伴协定</t>
    </r>
  </si>
  <si>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五国、阿联酋</t>
    </r>
  </si>
  <si>
    <t xml:space="preserve">经济伙伴协定</t>
  </si>
  <si>
    <r>
      <rPr>
        <sz val="10"/>
        <rFont val="Arial"/>
        <family val="0"/>
        <charset val="1"/>
      </rPr>
      <t xml:space="preserve">2025-06-27</t>
    </r>
    <r>
      <rPr>
        <sz val="10"/>
        <rFont val="WenQuanYi Zen Hei"/>
        <family val="2"/>
      </rPr>
      <t xml:space="preserve">（明斯克）</t>
    </r>
  </si>
  <si>
    <r>
      <rPr>
        <sz val="10"/>
        <rFont val="Arial"/>
        <family val="0"/>
        <charset val="1"/>
      </rPr>
      <t xml:space="preserve">2026-10-06 </t>
    </r>
    <r>
      <rPr>
        <sz val="10"/>
        <rFont val="WenQuanYi Zen Hei"/>
        <family val="2"/>
      </rPr>
      <t xml:space="preserve">生效（已换文）</t>
    </r>
  </si>
  <si>
    <r>
      <rPr>
        <sz val="10"/>
        <rFont val="WenQuanYi Zen Hei"/>
        <family val="2"/>
      </rPr>
      <t xml:space="preserve">阿方对 </t>
    </r>
    <r>
      <rPr>
        <sz val="10"/>
        <rFont val="Arial"/>
        <family val="0"/>
        <charset val="1"/>
      </rPr>
      <t xml:space="preserve">86% </t>
    </r>
    <r>
      <rPr>
        <sz val="10"/>
        <rFont val="WenQuanYi Zen Hei"/>
        <family val="2"/>
      </rPr>
      <t xml:space="preserve">税目、</t>
    </r>
    <r>
      <rPr>
        <sz val="10"/>
        <rFont val="Arial"/>
        <family val="0"/>
        <charset val="1"/>
      </rPr>
      <t xml:space="preserve">98%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对阿出口额给予优惠；</t>
    </r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出口商每年至少节省 </t>
    </r>
    <r>
      <rPr>
        <sz val="10"/>
        <rFont val="Arial"/>
        <family val="0"/>
        <charset val="1"/>
      </rPr>
      <t xml:space="preserve">2.66 </t>
    </r>
    <r>
      <rPr>
        <sz val="10"/>
        <rFont val="WenQuanYi Zen Hei"/>
        <family val="2"/>
      </rPr>
      <t xml:space="preserve">亿美元关税</t>
    </r>
  </si>
  <si>
    <t xml:space="preserve">阿联酋商品进入白俄的待遇以协定减让表为准</t>
  </si>
  <si>
    <t xml:space="preserve">S082</t>
  </si>
  <si>
    <r>
      <rPr>
        <sz val="10"/>
        <rFont val="Arial"/>
        <family val="0"/>
        <charset val="1"/>
      </rPr>
      <t xml:space="preserve">EAEU–</t>
    </r>
    <r>
      <rPr>
        <sz val="10"/>
        <rFont val="WenQuanYi Zen Hei"/>
        <family val="2"/>
      </rPr>
      <t xml:space="preserve">印尼自贸协定</t>
    </r>
  </si>
  <si>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五国、印尼</t>
    </r>
  </si>
  <si>
    <t xml:space="preserve">2025-12-21</t>
  </si>
  <si>
    <r>
      <rPr>
        <sz val="10"/>
        <rFont val="WenQuanYi Zen Hei"/>
        <family val="2"/>
      </rPr>
      <t xml:space="preserve">白俄已批准；预计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年底前生效</t>
    </r>
  </si>
  <si>
    <r>
      <rPr>
        <sz val="10"/>
        <rFont val="WenQuanYi Zen Hei"/>
        <family val="2"/>
      </rPr>
      <t xml:space="preserve">印尼对 </t>
    </r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开放 </t>
    </r>
    <r>
      <rPr>
        <sz val="10"/>
        <rFont val="Arial"/>
        <family val="0"/>
        <charset val="1"/>
      </rPr>
      <t xml:space="preserve">90% </t>
    </r>
    <r>
      <rPr>
        <sz val="10"/>
        <rFont val="WenQuanYi Zen Hei"/>
        <family val="2"/>
      </rPr>
      <t xml:space="preserve">税目；印尼对 </t>
    </r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商品的平均税率由 </t>
    </r>
    <r>
      <rPr>
        <sz val="10"/>
        <rFont val="Arial"/>
        <family val="0"/>
        <charset val="1"/>
      </rPr>
      <t xml:space="preserve">10.2% </t>
    </r>
    <r>
      <rPr>
        <sz val="10"/>
        <rFont val="WenQuanYi Zen Hei"/>
        <family val="2"/>
      </rPr>
      <t xml:space="preserve">降至 </t>
    </r>
    <r>
      <rPr>
        <sz val="10"/>
        <rFont val="Arial"/>
        <family val="0"/>
        <charset val="1"/>
      </rPr>
      <t xml:space="preserve">2%</t>
    </r>
  </si>
  <si>
    <t xml:space="preserve">生效后印尼商品在白俄享有优惠</t>
  </si>
  <si>
    <t xml:space="preserve">S062, S084, S085</t>
  </si>
  <si>
    <r>
      <rPr>
        <sz val="10"/>
        <rFont val="Arial"/>
        <family val="0"/>
        <charset val="1"/>
      </rPr>
      <t xml:space="preserve">EAEU–</t>
    </r>
    <r>
      <rPr>
        <sz val="10"/>
        <rFont val="WenQuanYi Zen Hei"/>
        <family val="2"/>
      </rPr>
      <t xml:space="preserve">印度</t>
    </r>
  </si>
  <si>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五国、印度</t>
    </r>
  </si>
  <si>
    <t xml:space="preserve">自贸协定（谈判中）</t>
  </si>
  <si>
    <r>
      <rPr>
        <sz val="10"/>
        <rFont val="WenQuanYi Zen Hei"/>
        <family val="2"/>
      </rPr>
      <t xml:space="preserve">谈判中：已签技术授权，目标 </t>
    </r>
    <r>
      <rPr>
        <sz val="10"/>
        <rFont val="Arial"/>
        <family val="0"/>
        <charset val="1"/>
      </rPr>
      <t xml:space="preserve">18 </t>
    </r>
    <r>
      <rPr>
        <sz val="10"/>
        <rFont val="WenQuanYi Zen Hei"/>
        <family val="2"/>
      </rPr>
      <t xml:space="preserve">个月内达成</t>
    </r>
  </si>
  <si>
    <t xml:space="preserve">S061</t>
  </si>
  <si>
    <t xml:space="preserve">其他在研或启动中的方向</t>
  </si>
  <si>
    <t xml:space="preserve">突尼斯（已决定启动谈判）、巴基斯坦（研究中）、约旦、南非、津巴布韦（研究前景）</t>
  </si>
  <si>
    <t xml:space="preserve">研究或启动阶段</t>
  </si>
  <si>
    <r>
      <rPr>
        <sz val="10"/>
        <rFont val="Arial"/>
        <family val="0"/>
        <charset val="1"/>
      </rPr>
      <t xml:space="preserve">EAEU–</t>
    </r>
    <r>
      <rPr>
        <sz val="10"/>
        <rFont val="WenQuanYi Zen Hei"/>
        <family val="2"/>
      </rPr>
      <t xml:space="preserve">中国经贸合作协定</t>
    </r>
  </si>
  <si>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五国、中国</t>
    </r>
  </si>
  <si>
    <t xml:space="preserve">非优惠协定</t>
  </si>
  <si>
    <r>
      <rPr>
        <sz val="10"/>
        <rFont val="Arial"/>
        <family val="0"/>
        <charset val="1"/>
      </rPr>
      <t xml:space="preserve">2018</t>
    </r>
    <r>
      <rPr>
        <sz val="10"/>
        <rFont val="WenQuanYi Zen Hei"/>
        <family val="2"/>
      </rPr>
      <t xml:space="preserve">（背景信息）</t>
    </r>
  </si>
  <si>
    <r>
      <rPr>
        <sz val="10"/>
        <rFont val="Arial"/>
        <family val="0"/>
        <charset val="1"/>
      </rPr>
      <t xml:space="preserve">2019-10-25 </t>
    </r>
    <r>
      <rPr>
        <sz val="10"/>
        <rFont val="WenQuanYi Zen Hei"/>
        <family val="2"/>
      </rPr>
      <t xml:space="preserve">生效</t>
    </r>
  </si>
  <si>
    <t xml:space="preserve">不含关税减让；侧重监管透明度、贸易便利化、生鲜产品快速通关</t>
  </si>
  <si>
    <t xml:space="preserve">中国商品按一般税率征税</t>
  </si>
  <si>
    <t xml:space="preserve">S072, S008</t>
  </si>
  <si>
    <t xml:space="preserve">白俄–阿联酋服务贸易与投资协定</t>
  </si>
  <si>
    <t xml:space="preserve">白俄、阿联酋</t>
  </si>
  <si>
    <t xml:space="preserve">服务与投资</t>
  </si>
  <si>
    <t xml:space="preserve">2025-06</t>
  </si>
  <si>
    <t xml:space="preserve">不涉及货物关税</t>
  </si>
  <si>
    <t xml:space="preserve">S064</t>
  </si>
  <si>
    <t xml:space="preserve">出口关税与出口管制</t>
  </si>
  <si>
    <t xml:space="preserve">白俄的出口关税主要针对能源产品，按与俄罗斯同步的原则调整；另有临时出口禁令和出口最低限价</t>
  </si>
  <si>
    <t xml:space="preserve">适用商品</t>
  </si>
  <si>
    <r>
      <rPr>
        <b val="true"/>
        <sz val="10"/>
        <color rgb="FFFFFFFF"/>
        <rFont val="WenQuanYi Zen Hei"/>
        <family val="2"/>
      </rPr>
      <t xml:space="preserve">内容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税率</t>
    </r>
  </si>
  <si>
    <t xml:space="preserve">时间</t>
  </si>
  <si>
    <t xml:space="preserve">说明</t>
  </si>
  <si>
    <t xml:space="preserve">原油及油品出口关税</t>
  </si>
  <si>
    <t xml:space="preserve">原油及部分油品</t>
  </si>
  <si>
    <t xml:space="preserve">部长会议按与俄罗斯相同的税率设定，与俄方同时生效</t>
  </si>
  <si>
    <t xml:space="preserve">长期，随俄方调整</t>
  </si>
  <si>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716 </t>
    </r>
    <r>
      <rPr>
        <sz val="10"/>
        <rFont val="WenQuanYi Zen Hei"/>
        <family val="2"/>
      </rPr>
      <t xml:space="preserve">号文件；部长会议 </t>
    </r>
    <r>
      <rPr>
        <sz val="10"/>
        <rFont val="Arial"/>
        <family val="0"/>
        <charset val="1"/>
      </rPr>
      <t xml:space="preserve">2010-12-31 </t>
    </r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1932 </t>
    </r>
    <r>
      <rPr>
        <sz val="10"/>
        <rFont val="WenQuanYi Zen Hei"/>
        <family val="2"/>
      </rPr>
      <t xml:space="preserve">号决议；</t>
    </r>
    <r>
      <rPr>
        <sz val="10"/>
        <rFont val="Arial"/>
        <family val="0"/>
        <charset val="1"/>
      </rPr>
      <t xml:space="preserve">2024-12-24 </t>
    </r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1009 </t>
    </r>
    <r>
      <rPr>
        <sz val="10"/>
        <rFont val="WenQuanYi Zen Hei"/>
        <family val="2"/>
      </rPr>
      <t xml:space="preserve">号决议</t>
    </r>
  </si>
  <si>
    <t xml:space="preserve">税额随国际油价和俄方公式变动</t>
  </si>
  <si>
    <r>
      <rPr>
        <sz val="10"/>
        <rFont val="WenQuanYi Zen Hei"/>
        <family val="2"/>
      </rPr>
      <t xml:space="preserve">油品出口关税（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年调整）</t>
    </r>
  </si>
  <si>
    <t xml:space="preserve">部分油品</t>
  </si>
  <si>
    <r>
      <rPr>
        <sz val="10"/>
        <rFont val="Arial"/>
        <family val="0"/>
        <charset val="1"/>
      </rPr>
      <t xml:space="preserve">2026-04-13 </t>
    </r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184 </t>
    </r>
    <r>
      <rPr>
        <sz val="10"/>
        <rFont val="WenQuanYi Zen Hei"/>
        <family val="2"/>
      </rPr>
      <t xml:space="preserve">号决议上调；</t>
    </r>
    <r>
      <rPr>
        <sz val="10"/>
        <rFont val="Arial"/>
        <family val="0"/>
        <charset val="1"/>
      </rPr>
      <t xml:space="preserve">2026-06-10 </t>
    </r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291 </t>
    </r>
    <r>
      <rPr>
        <sz val="10"/>
        <rFont val="WenQuanYi Zen Hei"/>
        <family val="2"/>
      </rPr>
      <t xml:space="preserve">号决议下调；</t>
    </r>
    <r>
      <rPr>
        <sz val="10"/>
        <rFont val="Arial"/>
        <family val="0"/>
        <charset val="1"/>
      </rPr>
      <t xml:space="preserve">2026-07-07 </t>
    </r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343 </t>
    </r>
    <r>
      <rPr>
        <sz val="10"/>
        <rFont val="WenQuanYi Zen Hei"/>
        <family val="2"/>
      </rPr>
      <t xml:space="preserve">号决议下调</t>
    </r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</si>
  <si>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年多次</t>
    </r>
  </si>
  <si>
    <t xml:space="preserve">部长会议决议</t>
  </si>
  <si>
    <t xml:space="preserve">具体税额未能获取原文</t>
  </si>
  <si>
    <t xml:space="preserve">S048</t>
  </si>
  <si>
    <t xml:space="preserve">液化烃气出口关税</t>
  </si>
  <si>
    <t xml:space="preserve">液化石油气</t>
  </si>
  <si>
    <r>
      <rPr>
        <sz val="10"/>
        <rFont val="Arial"/>
        <family val="0"/>
        <charset val="1"/>
      </rPr>
      <t xml:space="preserve">2026-05-01 </t>
    </r>
    <r>
      <rPr>
        <sz val="10"/>
        <rFont val="WenQuanYi Zen Hei"/>
        <family val="2"/>
      </rPr>
      <t xml:space="preserve">起由 </t>
    </r>
    <r>
      <rPr>
        <sz val="10"/>
        <rFont val="Arial"/>
        <family val="0"/>
        <charset val="1"/>
      </rPr>
      <t xml:space="preserve">5.2 </t>
    </r>
    <r>
      <rPr>
        <sz val="10"/>
        <rFont val="WenQuanYi Zen Hei"/>
        <family val="2"/>
      </rPr>
      <t xml:space="preserve">美元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吨升至 </t>
    </r>
    <r>
      <rPr>
        <sz val="10"/>
        <rFont val="Arial"/>
        <family val="0"/>
        <charset val="1"/>
      </rPr>
      <t xml:space="preserve">131.6 </t>
    </r>
    <r>
      <rPr>
        <sz val="10"/>
        <rFont val="WenQuanYi Zen Hei"/>
        <family val="2"/>
      </rPr>
      <t xml:space="preserve">美元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吨</t>
    </r>
  </si>
  <si>
    <t xml:space="preserve">2026-05</t>
  </si>
  <si>
    <t xml:space="preserve">部长会议决议（总理图尔钦签署）</t>
  </si>
  <si>
    <t xml:space="preserve">S047</t>
  </si>
  <si>
    <t xml:space="preserve">乙烷、丁烷、异丁烷</t>
  </si>
  <si>
    <r>
      <rPr>
        <sz val="10"/>
        <rFont val="Arial"/>
        <family val="0"/>
        <charset val="1"/>
      </rPr>
      <t xml:space="preserve">2026-05-01 </t>
    </r>
    <r>
      <rPr>
        <sz val="10"/>
        <rFont val="WenQuanYi Zen Hei"/>
        <family val="2"/>
      </rPr>
      <t xml:space="preserve">起由 </t>
    </r>
    <r>
      <rPr>
        <sz val="10"/>
        <rFont val="Arial"/>
        <family val="0"/>
        <charset val="1"/>
      </rPr>
      <t xml:space="preserve">4.6 </t>
    </r>
    <r>
      <rPr>
        <sz val="10"/>
        <rFont val="WenQuanYi Zen Hei"/>
        <family val="2"/>
      </rPr>
      <t xml:space="preserve">美元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吨升至 </t>
    </r>
    <r>
      <rPr>
        <sz val="10"/>
        <rFont val="Arial"/>
        <family val="0"/>
        <charset val="1"/>
      </rPr>
      <t xml:space="preserve">118.4 </t>
    </r>
    <r>
      <rPr>
        <sz val="10"/>
        <rFont val="WenQuanYi Zen Hei"/>
        <family val="2"/>
      </rPr>
      <t xml:space="preserve">美元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吨</t>
    </r>
  </si>
  <si>
    <r>
      <rPr>
        <sz val="10"/>
        <rFont val="WenQuanYi Zen Hei"/>
        <family val="2"/>
      </rPr>
      <t xml:space="preserve">液化石油气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乙烷、丁烷、异丁烷</t>
    </r>
  </si>
  <si>
    <r>
      <rPr>
        <sz val="10"/>
        <rFont val="Arial"/>
        <family val="0"/>
        <charset val="1"/>
      </rPr>
      <t xml:space="preserve">2026-06-01 </t>
    </r>
    <r>
      <rPr>
        <sz val="10"/>
        <rFont val="WenQuanYi Zen Hei"/>
        <family val="2"/>
      </rPr>
      <t xml:space="preserve">起分别降至 </t>
    </r>
    <r>
      <rPr>
        <sz val="10"/>
        <rFont val="Arial"/>
        <family val="0"/>
        <charset val="1"/>
      </rPr>
      <t xml:space="preserve">130.2 </t>
    </r>
    <r>
      <rPr>
        <sz val="10"/>
        <rFont val="WenQuanYi Zen Hei"/>
        <family val="2"/>
      </rPr>
      <t xml:space="preserve">美元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吨、</t>
    </r>
    <r>
      <rPr>
        <sz val="10"/>
        <rFont val="Arial"/>
        <family val="0"/>
        <charset val="1"/>
      </rPr>
      <t xml:space="preserve">117.1 </t>
    </r>
    <r>
      <rPr>
        <sz val="10"/>
        <rFont val="WenQuanYi Zen Hei"/>
        <family val="2"/>
      </rPr>
      <t xml:space="preserve">美元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吨</t>
    </r>
  </si>
  <si>
    <t xml:space="preserve">2026-06</t>
  </si>
  <si>
    <t xml:space="preserve">S078</t>
  </si>
  <si>
    <t xml:space="preserve">液化石油气；乙烷、丁烷、异丁烷</t>
  </si>
  <si>
    <t xml:space="preserve">设为零</t>
  </si>
  <si>
    <r>
      <rPr>
        <sz val="10"/>
        <rFont val="Arial"/>
        <family val="0"/>
        <charset val="1"/>
      </rPr>
      <t xml:space="preserve">2026-08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2026-08-05 </t>
    </r>
    <r>
      <rPr>
        <sz val="10"/>
        <rFont val="WenQuanYi Zen Hei"/>
        <family val="2"/>
      </rPr>
      <t xml:space="preserve">决议）</t>
    </r>
  </si>
  <si>
    <t xml:space="preserve">最新已知值为零；此后如有调整，本表未收录</t>
  </si>
  <si>
    <t xml:space="preserve">临时出口禁令</t>
  </si>
  <si>
    <t xml:space="preserve">部分工业品（清单见决议附件）</t>
  </si>
  <si>
    <r>
      <rPr>
        <sz val="10"/>
        <rFont val="WenQuanYi Zen Hei"/>
        <family val="2"/>
      </rPr>
      <t xml:space="preserve">禁止出口至 </t>
    </r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成员国（不论原产地）；禁止以出口、临时出口、境外加工、再出口程序运往第三国；附白俄或俄罗斯原产地证书（或原产地鉴定书）的商品除外</t>
    </r>
  </si>
  <si>
    <r>
      <rPr>
        <sz val="10"/>
        <rFont val="Arial"/>
        <family val="0"/>
        <charset val="1"/>
      </rPr>
      <t xml:space="preserve">2026-09-23 </t>
    </r>
    <r>
      <rPr>
        <sz val="10"/>
        <rFont val="WenQuanYi Zen Hei"/>
        <family val="2"/>
      </rPr>
      <t xml:space="preserve">起，为期 </t>
    </r>
    <r>
      <rPr>
        <sz val="10"/>
        <rFont val="Arial"/>
        <family val="0"/>
        <charset val="1"/>
      </rPr>
      <t xml:space="preserve">6 </t>
    </r>
    <r>
      <rPr>
        <sz val="10"/>
        <rFont val="WenQuanYi Zen Hei"/>
        <family val="2"/>
      </rPr>
      <t xml:space="preserve">个月</t>
    </r>
  </si>
  <si>
    <r>
      <rPr>
        <sz val="10"/>
        <rFont val="WenQuanYi Zen Hei"/>
        <family val="2"/>
      </rPr>
      <t xml:space="preserve">部长会议 </t>
    </r>
    <r>
      <rPr>
        <sz val="10"/>
        <rFont val="Arial"/>
        <family val="0"/>
        <charset val="1"/>
      </rPr>
      <t xml:space="preserve">2026-09-01 </t>
    </r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442 </t>
    </r>
    <r>
      <rPr>
        <sz val="10"/>
        <rFont val="WenQuanYi Zen Hei"/>
        <family val="2"/>
      </rPr>
      <t xml:space="preserve">号决议（此前由 </t>
    </r>
    <r>
      <rPr>
        <sz val="10"/>
        <rFont val="Arial"/>
        <family val="0"/>
        <charset val="1"/>
      </rPr>
      <t xml:space="preserve">2026-03-19 </t>
    </r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128 </t>
    </r>
    <r>
      <rPr>
        <sz val="10"/>
        <rFont val="WenQuanYi Zen Hei"/>
        <family val="2"/>
      </rPr>
      <t xml:space="preserve">号决议延续）</t>
    </r>
  </si>
  <si>
    <r>
      <rPr>
        <sz val="10"/>
        <rFont val="WenQuanYi Zen Hei"/>
        <family val="2"/>
      </rPr>
      <t xml:space="preserve">目的是防止工业品不合理外流和国内短缺；以往清单包括石膏、硬石膏、牙科水门汀、</t>
    </r>
    <r>
      <rPr>
        <sz val="10"/>
        <rFont val="Arial"/>
        <family val="0"/>
        <charset val="1"/>
      </rPr>
      <t xml:space="preserve">X </t>
    </r>
    <r>
      <rPr>
        <sz val="10"/>
        <rFont val="WenQuanYi Zen Hei"/>
        <family val="2"/>
      </rPr>
      <t xml:space="preserve">光胶片、消毒剂等</t>
    </r>
  </si>
  <si>
    <t xml:space="preserve">S053, S054</t>
  </si>
  <si>
    <t xml:space="preserve">出口最低限价</t>
  </si>
  <si>
    <t xml:space="preserve">部分农产品和食品</t>
  </si>
  <si>
    <t xml:space="preserve">农业与食品部规定出口最低限价</t>
  </si>
  <si>
    <r>
      <rPr>
        <sz val="10"/>
        <rFont val="Arial"/>
        <family val="0"/>
        <charset val="1"/>
      </rPr>
      <t xml:space="preserve">2025-09 </t>
    </r>
    <r>
      <rPr>
        <sz val="10"/>
        <rFont val="WenQuanYi Zen Hei"/>
        <family val="2"/>
      </rPr>
      <t xml:space="preserve">起</t>
    </r>
  </si>
  <si>
    <t xml:space="preserve">农业与食品部决议</t>
  </si>
  <si>
    <t xml:space="preserve">具体品目和价格未能获取原文</t>
  </si>
  <si>
    <t xml:space="preserve">S055</t>
  </si>
  <si>
    <t xml:space="preserve">非关税措施与反制裁措施</t>
  </si>
  <si>
    <t xml:space="preserve">这些措施可能使商品无论税率高低都无法进口，需按原产国和运输路线逐项核查</t>
  </si>
  <si>
    <r>
      <rPr>
        <b val="true"/>
        <sz val="10"/>
        <color rgb="FFFFFFFF"/>
        <rFont val="WenQuanYi Zen Hei"/>
        <family val="2"/>
      </rPr>
      <t xml:space="preserve">发布机关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文件</t>
    </r>
  </si>
  <si>
    <t xml:space="preserve">具体内容</t>
  </si>
  <si>
    <t xml:space="preserve">期限</t>
  </si>
  <si>
    <r>
      <rPr>
        <b val="true"/>
        <sz val="10"/>
        <color rgb="FFFFFFFF"/>
        <rFont val="WenQuanYi Zen Hei"/>
        <family val="2"/>
      </rPr>
      <t xml:space="preserve">背景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说明</t>
    </r>
  </si>
  <si>
    <t xml:space="preserve">“不友好国家”商品进口和销售禁令</t>
  </si>
  <si>
    <r>
      <rPr>
        <sz val="10"/>
        <rFont val="WenQuanYi Zen Hei"/>
        <family val="2"/>
      </rPr>
      <t xml:space="preserve">附件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：原产于不友好国家的商品；附件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：原产或生产于特定不友好国家的商品</t>
    </r>
  </si>
  <si>
    <t xml:space="preserve">禁止进口至白俄及在白俄境内销售</t>
  </si>
  <si>
    <r>
      <rPr>
        <sz val="10"/>
        <rFont val="Arial"/>
        <family val="0"/>
        <charset val="1"/>
      </rPr>
      <t xml:space="preserve">2026-01-01 </t>
    </r>
    <r>
      <rPr>
        <sz val="10"/>
        <rFont val="WenQuanYi Zen Hei"/>
        <family val="2"/>
      </rPr>
      <t xml:space="preserve">至 </t>
    </r>
    <r>
      <rPr>
        <sz val="10"/>
        <rFont val="Arial"/>
        <family val="0"/>
        <charset val="1"/>
      </rPr>
      <t xml:space="preserve">2027-12-31</t>
    </r>
  </si>
  <si>
    <r>
      <rPr>
        <sz val="10"/>
        <rFont val="Arial"/>
        <family val="0"/>
        <charset val="1"/>
      </rPr>
      <t xml:space="preserve">2022-01-01 </t>
    </r>
    <r>
      <rPr>
        <sz val="10"/>
        <rFont val="WenQuanYi Zen Hei"/>
        <family val="2"/>
      </rPr>
      <t xml:space="preserve">起首次实施（食品禁运），此后多次延长；目的是在制裁压力下保护本国利益</t>
    </r>
  </si>
  <si>
    <t xml:space="preserve">S079, S050, S080</t>
  </si>
  <si>
    <r>
      <rPr>
        <sz val="10"/>
        <rFont val="Arial"/>
        <family val="0"/>
        <charset val="1"/>
      </rPr>
      <t xml:space="preserve">2024 </t>
    </r>
    <r>
      <rPr>
        <sz val="10"/>
        <rFont val="WenQuanYi Zen Hei"/>
        <family val="2"/>
      </rPr>
      <t xml:space="preserve">年扩大禁令清单</t>
    </r>
  </si>
  <si>
    <r>
      <rPr>
        <sz val="10"/>
        <rFont val="WenQuanYi Zen Hei"/>
        <family val="2"/>
      </rPr>
      <t xml:space="preserve">部长会议决议（</t>
    </r>
    <r>
      <rPr>
        <sz val="10"/>
        <rFont val="Arial"/>
        <family val="0"/>
        <charset val="1"/>
      </rPr>
      <t xml:space="preserve">2024-05</t>
    </r>
    <r>
      <rPr>
        <sz val="10"/>
        <rFont val="WenQuanYi Zen Hei"/>
        <family val="2"/>
      </rPr>
      <t xml:space="preserve">）</t>
    </r>
  </si>
  <si>
    <t xml:space="preserve">拉脱维亚、立陶宛、波兰、捷克、爱沙尼亚的部分商品</t>
  </si>
  <si>
    <t xml:space="preserve">生猪；牛肉、猪肉及部分副产品；腌、熏、干肉；肉粉；奶及乳制品（部分例外）；蔬菜（种用除外）；水果和坚果；猪油、禽脂；香肠；糖果点心；人造黄油；面食；水泥及制品；氮肥；塑料餐具；刨花板、中密度纤维板；纸及纸板包装；建筑用砖</t>
  </si>
  <si>
    <t xml:space="preserve">随主禁令延续</t>
  </si>
  <si>
    <t xml:space="preserve">回应拉脱维亚的食品进口禁令、立陶宛的农产品和饲料进口禁令，以及欧盟加征关税的条例草案</t>
  </si>
  <si>
    <t xml:space="preserve">S052</t>
  </si>
  <si>
    <t xml:space="preserve">白俄–立陶宛边境口岸进口禁令</t>
  </si>
  <si>
    <r>
      <rPr>
        <sz val="10"/>
        <rFont val="WenQuanYi Zen Hei"/>
        <family val="2"/>
      </rPr>
      <t xml:space="preserve">部长会议 </t>
    </r>
    <r>
      <rPr>
        <sz val="10"/>
        <rFont val="Arial"/>
        <family val="0"/>
        <charset val="1"/>
      </rPr>
      <t xml:space="preserve">2026-03-30 </t>
    </r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145 </t>
    </r>
    <r>
      <rPr>
        <sz val="10"/>
        <rFont val="WenQuanYi Zen Hei"/>
        <family val="2"/>
      </rPr>
      <t xml:space="preserve">号决议</t>
    </r>
  </si>
  <si>
    <t xml:space="preserve">经白俄–立陶宛段边境口岸进口、用于在白俄销售的商品，不论原产地</t>
  </si>
  <si>
    <t xml:space="preserve">水、啤酒、葡萄酒、葡萄汁、味美思、其他发酵饮料、乙醇、醋、充气橡胶轮胎及外胎、旧衣物及其他旧物品、二手车辆零部件</t>
  </si>
  <si>
    <r>
      <rPr>
        <sz val="10"/>
        <rFont val="WenQuanYi Zen Hei"/>
        <family val="2"/>
      </rPr>
      <t xml:space="preserve">延长至 </t>
    </r>
    <r>
      <rPr>
        <sz val="10"/>
        <rFont val="Arial"/>
        <family val="0"/>
        <charset val="1"/>
      </rPr>
      <t xml:space="preserve">2027-12-31</t>
    </r>
    <r>
      <rPr>
        <sz val="10"/>
        <rFont val="WenQuanYi Zen Hei"/>
        <family val="2"/>
      </rPr>
      <t xml:space="preserve">（清单不变）</t>
    </r>
  </si>
  <si>
    <r>
      <rPr>
        <sz val="10"/>
        <rFont val="Arial"/>
        <family val="0"/>
        <charset val="1"/>
      </rPr>
      <t xml:space="preserve">2024 </t>
    </r>
    <r>
      <rPr>
        <sz val="10"/>
        <rFont val="WenQuanYi Zen Hei"/>
        <family val="2"/>
      </rPr>
      <t xml:space="preserve">年首次实施，回应立陶宛关闭口岸</t>
    </r>
  </si>
  <si>
    <t xml:space="preserve">S049, S081</t>
  </si>
  <si>
    <t xml:space="preserve">酒类标识禁令</t>
  </si>
  <si>
    <r>
      <rPr>
        <sz val="10"/>
        <rFont val="WenQuanYi Zen Hei"/>
        <family val="2"/>
      </rPr>
      <t xml:space="preserve">部长会议 </t>
    </r>
    <r>
      <rPr>
        <sz val="10"/>
        <rFont val="Arial"/>
        <family val="0"/>
        <charset val="1"/>
      </rPr>
      <t xml:space="preserve">2026-01-30 </t>
    </r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54 </t>
    </r>
    <r>
      <rPr>
        <sz val="10"/>
        <rFont val="WenQuanYi Zen Hei"/>
        <family val="2"/>
      </rPr>
      <t xml:space="preserve">号决议</t>
    </r>
  </si>
  <si>
    <t xml:space="preserve">进口酒类</t>
  </si>
  <si>
    <t xml:space="preserve">禁止在不友好国家境内对进口酒类加贴白俄标识</t>
  </si>
  <si>
    <r>
      <rPr>
        <sz val="10"/>
        <rFont val="WenQuanYi Zen Hei"/>
        <family val="2"/>
      </rPr>
      <t xml:space="preserve">至 </t>
    </r>
    <r>
      <rPr>
        <sz val="10"/>
        <rFont val="Arial"/>
        <family val="0"/>
        <charset val="1"/>
      </rPr>
      <t xml:space="preserve">2027-12-31</t>
    </r>
  </si>
  <si>
    <t xml:space="preserve">所列国家：澳大利亚、欧盟成员国、加拿大、列支敦士登、挪威、新西兰、阿尔巴尼亚、冰岛、北马其顿、英国、美国、黑山、瑞士</t>
  </si>
  <si>
    <t xml:space="preserve">S051</t>
  </si>
  <si>
    <t xml:space="preserve">导航封条</t>
  </si>
  <si>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协定 </t>
    </r>
    <r>
      <rPr>
        <sz val="10"/>
        <rFont val="Arial"/>
        <family val="0"/>
        <charset val="1"/>
      </rPr>
      <t xml:space="preserve">/ ГТК</t>
    </r>
  </si>
  <si>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内特定货物运输</t>
    </r>
  </si>
  <si>
    <t xml:space="preserve">规定情形下强制使用导航封条</t>
  </si>
  <si>
    <r>
      <rPr>
        <sz val="10"/>
        <rFont val="Arial"/>
        <family val="0"/>
        <charset val="1"/>
      </rPr>
      <t xml:space="preserve">2026-02-11 </t>
    </r>
    <r>
      <rPr>
        <sz val="10"/>
        <rFont val="WenQuanYi Zen Hei"/>
        <family val="2"/>
      </rPr>
      <t xml:space="preserve">起；</t>
    </r>
    <r>
      <rPr>
        <sz val="10"/>
        <rFont val="Arial"/>
        <family val="0"/>
        <charset val="1"/>
      </rPr>
      <t xml:space="preserve">2026-07-31 </t>
    </r>
    <r>
      <rPr>
        <sz val="10"/>
        <rFont val="WenQuanYi Zen Hei"/>
        <family val="2"/>
      </rPr>
      <t xml:space="preserve">起扩大</t>
    </r>
  </si>
  <si>
    <t xml:space="preserve">用于过境和敏感商品的追踪</t>
  </si>
  <si>
    <t xml:space="preserve">S056</t>
  </si>
  <si>
    <t xml:space="preserve">商品标识（数字标签）</t>
  </si>
  <si>
    <t xml:space="preserve">白俄政府</t>
  </si>
  <si>
    <t xml:space="preserve">软饮料和果汁</t>
  </si>
  <si>
    <t xml:space="preserve">须加贴识别标识</t>
  </si>
  <si>
    <r>
      <rPr>
        <sz val="10"/>
        <rFont val="Arial"/>
        <family val="0"/>
        <charset val="1"/>
      </rPr>
      <t xml:space="preserve">2026-05-01 </t>
    </r>
    <r>
      <rPr>
        <sz val="10"/>
        <rFont val="WenQuanYi Zen Hei"/>
        <family val="2"/>
      </rPr>
      <t xml:space="preserve">起</t>
    </r>
  </si>
  <si>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还计划扩大标识商品组</t>
    </r>
  </si>
  <si>
    <t xml:space="preserve">S057</t>
  </si>
  <si>
    <t xml:space="preserve">邮件和快递监管</t>
  </si>
  <si>
    <r>
      <rPr>
        <sz val="10"/>
        <rFont val="WenQuanYi Zen Hei"/>
        <family val="2"/>
      </rPr>
      <t xml:space="preserve">白俄政府 </t>
    </r>
    <r>
      <rPr>
        <sz val="10"/>
        <rFont val="Arial"/>
        <family val="0"/>
        <charset val="1"/>
      </rPr>
      <t xml:space="preserve">/ ГТК</t>
    </r>
  </si>
  <si>
    <r>
      <rPr>
        <sz val="10"/>
        <rFont val="WenQuanYi Zen Hei"/>
        <family val="2"/>
      </rPr>
      <t xml:space="preserve">自 </t>
    </r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成员国寄给个人的国际邮件和货物</t>
    </r>
  </si>
  <si>
    <t xml:space="preserve">送达或交付前须先送至监管地点接受检查；未送检将被追究行政责任</t>
  </si>
  <si>
    <r>
      <rPr>
        <sz val="10"/>
        <rFont val="Arial"/>
        <family val="0"/>
        <charset val="1"/>
      </rPr>
      <t xml:space="preserve">2025-11-02 </t>
    </r>
    <r>
      <rPr>
        <sz val="10"/>
        <rFont val="WenQuanYi Zen Hei"/>
        <family val="2"/>
      </rPr>
      <t xml:space="preserve">起</t>
    </r>
  </si>
  <si>
    <t xml:space="preserve">针对经俄罗斯中转的电商包裹</t>
  </si>
  <si>
    <t xml:space="preserve">S039</t>
  </si>
  <si>
    <t xml:space="preserve">进口商品可追溯机制</t>
  </si>
  <si>
    <t xml:space="preserve">EAEU</t>
  </si>
  <si>
    <t xml:space="preserve">列入清单的进口商品</t>
  </si>
  <si>
    <t xml:space="preserve">常态化运行</t>
  </si>
  <si>
    <t xml:space="preserve">影响进口单据和流转申报</t>
  </si>
  <si>
    <t xml:space="preserve">S058</t>
  </si>
  <si>
    <r>
      <rPr>
        <b val="true"/>
        <sz val="16"/>
        <color rgb="FF1F4E78"/>
        <rFont val="WenQuanYi Zen Hei"/>
        <family val="2"/>
      </rPr>
      <t xml:space="preserve">贸易救济措施（</t>
    </r>
    <r>
      <rPr>
        <b val="true"/>
        <sz val="16"/>
        <color rgb="FF1F4E78"/>
        <rFont val="Arial"/>
        <family val="0"/>
        <charset val="1"/>
      </rPr>
      <t xml:space="preserve">EAEU</t>
    </r>
    <r>
      <rPr>
        <b val="true"/>
        <sz val="16"/>
        <color rgb="FF1F4E78"/>
        <rFont val="WenQuanYi Zen Hei"/>
        <family val="2"/>
      </rPr>
      <t xml:space="preserve">，在白俄同样适用）</t>
    </r>
  </si>
  <si>
    <r>
      <rPr>
        <i val="true"/>
        <sz val="9"/>
        <color rgb="FF595959"/>
        <rFont val="WenQuanYi Zen Hei"/>
        <family val="2"/>
      </rPr>
      <t xml:space="preserve">只列出 </t>
    </r>
    <r>
      <rPr>
        <i val="true"/>
        <sz val="9"/>
        <color rgb="FF595959"/>
        <rFont val="Arial"/>
        <family val="0"/>
        <charset val="1"/>
      </rPr>
      <t xml:space="preserve">2025–2026 </t>
    </r>
    <r>
      <rPr>
        <i val="true"/>
        <sz val="9"/>
        <color rgb="FF595959"/>
        <rFont val="WenQuanYi Zen Hei"/>
        <family val="2"/>
      </rPr>
      <t xml:space="preserve">年白俄官方媒体报道的部分措施，不是完整清单；完整清单以 </t>
    </r>
    <r>
      <rPr>
        <i val="true"/>
        <sz val="9"/>
        <color rgb="FF595959"/>
        <rFont val="Arial"/>
        <family val="0"/>
        <charset val="1"/>
      </rPr>
      <t xml:space="preserve">EEC </t>
    </r>
    <r>
      <rPr>
        <i val="true"/>
        <sz val="9"/>
        <color rgb="FF595959"/>
        <rFont val="WenQuanYi Zen Hei"/>
        <family val="2"/>
      </rPr>
      <t xml:space="preserve">内部市场保护司公布为准</t>
    </r>
  </si>
  <si>
    <t xml:space="preserve">产品</t>
  </si>
  <si>
    <t xml:space="preserve">原产国</t>
  </si>
  <si>
    <t xml:space="preserve">措施类型</t>
  </si>
  <si>
    <t xml:space="preserve">税率</t>
  </si>
  <si>
    <r>
      <rPr>
        <b val="true"/>
        <sz val="10"/>
        <color rgb="FFFFFFFF"/>
        <rFont val="WenQuanYi Zen Hei"/>
        <family val="2"/>
      </rPr>
      <t xml:space="preserve">期限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状态</t>
    </r>
  </si>
  <si>
    <t xml:space="preserve">决定</t>
  </si>
  <si>
    <t xml:space="preserve">不锈钢焊管</t>
  </si>
  <si>
    <t xml:space="preserve">中国</t>
  </si>
  <si>
    <t xml:space="preserve">反倾销</t>
  </si>
  <si>
    <r>
      <rPr>
        <sz val="10"/>
        <rFont val="Arial"/>
        <family val="0"/>
        <charset val="1"/>
      </rPr>
      <t xml:space="preserve">14.62%–17.28%</t>
    </r>
    <r>
      <rPr>
        <sz val="10"/>
        <rFont val="WenQuanYi Zen Hei"/>
        <family val="2"/>
      </rPr>
      <t xml:space="preserve">（按生产商）</t>
    </r>
  </si>
  <si>
    <r>
      <rPr>
        <sz val="10"/>
        <rFont val="WenQuanYi Zen Hei"/>
        <family val="2"/>
      </rPr>
      <t xml:space="preserve">延长 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年，至 </t>
    </r>
    <r>
      <rPr>
        <sz val="10"/>
        <rFont val="Arial"/>
        <family val="0"/>
        <charset val="1"/>
      </rPr>
      <t xml:space="preserve">2031-09-07</t>
    </r>
  </si>
  <si>
    <t xml:space="preserve">S093</t>
  </si>
  <si>
    <t xml:space="preserve">钢板弹簧及簧片</t>
  </si>
  <si>
    <t xml:space="preserve">摘要未列明</t>
  </si>
  <si>
    <r>
      <rPr>
        <sz val="10"/>
        <rFont val="WenQuanYi Zen Hei"/>
        <family val="2"/>
      </rPr>
      <t xml:space="preserve">期终复审期间延长至 </t>
    </r>
    <r>
      <rPr>
        <sz val="10"/>
        <rFont val="Arial"/>
        <family val="0"/>
        <charset val="1"/>
      </rPr>
      <t xml:space="preserve">2026-11-17</t>
    </r>
    <r>
      <rPr>
        <sz val="10"/>
        <rFont val="WenQuanYi Zen Hei"/>
        <family val="2"/>
      </rPr>
      <t xml:space="preserve">；复审后再延长 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年</t>
    </r>
  </si>
  <si>
    <t xml:space="preserve">S092, S091</t>
  </si>
  <si>
    <t xml:space="preserve">石墨电极</t>
  </si>
  <si>
    <r>
      <rPr>
        <sz val="10"/>
        <rFont val="Arial"/>
        <family val="0"/>
        <charset val="1"/>
      </rPr>
      <t xml:space="preserve">19.92%–22.51%</t>
    </r>
    <r>
      <rPr>
        <sz val="10"/>
        <rFont val="WenQuanYi Zen Hei"/>
        <family val="2"/>
      </rPr>
      <t xml:space="preserve">（按生产商）</t>
    </r>
  </si>
  <si>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年</t>
    </r>
  </si>
  <si>
    <r>
      <rPr>
        <sz val="10"/>
        <rFont val="Arial"/>
        <family val="0"/>
        <charset val="1"/>
      </rPr>
      <t xml:space="preserve">EEC </t>
    </r>
    <r>
      <rPr>
        <sz val="10"/>
        <rFont val="WenQuanYi Zen Hei"/>
        <family val="2"/>
      </rPr>
      <t xml:space="preserve">委员会 </t>
    </r>
    <r>
      <rPr>
        <sz val="10"/>
        <rFont val="Arial"/>
        <family val="0"/>
        <charset val="1"/>
      </rPr>
      <t xml:space="preserve">2025 </t>
    </r>
    <r>
      <rPr>
        <sz val="10"/>
        <rFont val="WenQuanYi Zen Hei"/>
        <family val="2"/>
      </rPr>
      <t xml:space="preserve">年决定</t>
    </r>
  </si>
  <si>
    <t xml:space="preserve">S095</t>
  </si>
  <si>
    <t xml:space="preserve">钛白粉（二氧化钛）</t>
  </si>
  <si>
    <r>
      <rPr>
        <sz val="10"/>
        <rFont val="Arial"/>
        <family val="0"/>
        <charset val="1"/>
      </rPr>
      <t xml:space="preserve">14.27%–16.25%</t>
    </r>
    <r>
      <rPr>
        <sz val="10"/>
        <rFont val="WenQuanYi Zen Hei"/>
        <family val="2"/>
      </rPr>
      <t xml:space="preserve">（按生产商）</t>
    </r>
  </si>
  <si>
    <r>
      <rPr>
        <sz val="10"/>
        <rFont val="Arial"/>
        <family val="0"/>
        <charset val="1"/>
      </rPr>
      <t xml:space="preserve">2025-11-16 </t>
    </r>
    <r>
      <rPr>
        <sz val="10"/>
        <rFont val="WenQuanYi Zen Hei"/>
        <family val="2"/>
      </rPr>
      <t xml:space="preserve">生效；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年临时暂停执行</t>
    </r>
  </si>
  <si>
    <r>
      <rPr>
        <sz val="10"/>
        <rFont val="Arial"/>
        <family val="0"/>
        <charset val="1"/>
      </rPr>
      <t xml:space="preserve">EEC </t>
    </r>
    <r>
      <rPr>
        <sz val="10"/>
        <rFont val="WenQuanYi Zen Hei"/>
        <family val="2"/>
      </rPr>
      <t xml:space="preserve">委员会 </t>
    </r>
    <r>
      <rPr>
        <sz val="10"/>
        <rFont val="Arial"/>
        <family val="0"/>
        <charset val="1"/>
      </rPr>
      <t xml:space="preserve">2025-10-14 </t>
    </r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96 </t>
    </r>
    <r>
      <rPr>
        <sz val="10"/>
        <rFont val="WenQuanYi Zen Hei"/>
        <family val="2"/>
      </rPr>
      <t xml:space="preserve">号决定</t>
    </r>
  </si>
  <si>
    <t xml:space="preserve">S068, S094</t>
  </si>
  <si>
    <t xml:space="preserve">铝箔</t>
  </si>
  <si>
    <t xml:space="preserve">S069</t>
  </si>
  <si>
    <t xml:space="preserve">铝制车轮</t>
  </si>
  <si>
    <t xml:space="preserve">日本、泰国、土耳其、马来西亚</t>
  </si>
  <si>
    <r>
      <rPr>
        <sz val="10"/>
        <rFont val="Arial"/>
        <family val="0"/>
        <charset val="1"/>
      </rPr>
      <t xml:space="preserve">9.38%–42.82%</t>
    </r>
    <r>
      <rPr>
        <sz val="10"/>
        <rFont val="WenQuanYi Zen Hei"/>
        <family val="2"/>
      </rPr>
      <t xml:space="preserve">（按国别）</t>
    </r>
  </si>
  <si>
    <t xml:space="preserve">S096</t>
  </si>
  <si>
    <r>
      <rPr>
        <i val="true"/>
        <sz val="9"/>
        <color rgb="FF595959"/>
        <rFont val="WenQuanYi Zen Hei"/>
        <family val="2"/>
      </rPr>
      <t xml:space="preserve">提示：反倾销税与 </t>
    </r>
    <r>
      <rPr>
        <i val="true"/>
        <sz val="9"/>
        <color rgb="FF595959"/>
        <rFont val="Arial"/>
        <family val="0"/>
        <charset val="1"/>
      </rPr>
      <t xml:space="preserve">ЕТТ </t>
    </r>
    <r>
      <rPr>
        <i val="true"/>
        <sz val="9"/>
        <color rgb="FF595959"/>
        <rFont val="WenQuanYi Zen Hei"/>
        <family val="2"/>
      </rPr>
      <t xml:space="preserve">关税叠加征收，并计入增值税税基。“税费测算器”第 </t>
    </r>
    <r>
      <rPr>
        <i val="true"/>
        <sz val="9"/>
        <color rgb="FF595959"/>
        <rFont val="Arial"/>
        <family val="0"/>
        <charset val="1"/>
      </rPr>
      <t xml:space="preserve">18 </t>
    </r>
    <r>
      <rPr>
        <i val="true"/>
        <sz val="9"/>
        <color rgb="FF595959"/>
        <rFont val="WenQuanYi Zen Hei"/>
        <family val="2"/>
      </rPr>
      <t xml:space="preserve">行可以输入反倾销税率。</t>
    </r>
  </si>
  <si>
    <t xml:space="preserve">个人物品免税额与跨境电商规则</t>
  </si>
  <si>
    <t xml:space="preserve">免税额按“价值和重量”双重标准；超出任一项即就超额部分按统一税率征收</t>
  </si>
  <si>
    <t xml:space="preserve">渠道</t>
  </si>
  <si>
    <t xml:space="preserve">免税额（价值）</t>
  </si>
  <si>
    <t xml:space="preserve">免税额（重量）</t>
  </si>
  <si>
    <t xml:space="preserve">超额部分税率</t>
  </si>
  <si>
    <t xml:space="preserve">生效时间</t>
  </si>
  <si>
    <t xml:space="preserve">随身行李（陆路等非航空方式）</t>
  </si>
  <si>
    <r>
      <rPr>
        <sz val="10"/>
        <rFont val="Arial"/>
        <family val="0"/>
        <charset val="1"/>
      </rPr>
      <t xml:space="preserve">500 </t>
    </r>
    <r>
      <rPr>
        <sz val="10"/>
        <rFont val="WenQuanYi Zen Hei"/>
        <family val="2"/>
      </rPr>
      <t xml:space="preserve">欧元</t>
    </r>
  </si>
  <si>
    <r>
      <rPr>
        <sz val="10"/>
        <rFont val="Arial"/>
        <family val="0"/>
        <charset val="1"/>
      </rPr>
      <t xml:space="preserve">25 </t>
    </r>
    <r>
      <rPr>
        <sz val="10"/>
        <rFont val="WenQuanYi Zen Hei"/>
        <family val="2"/>
      </rPr>
      <t xml:space="preserve">公斤</t>
    </r>
  </si>
  <si>
    <r>
      <rPr>
        <sz val="10"/>
        <rFont val="WenQuanYi Zen Hei"/>
        <family val="2"/>
      </rPr>
      <t xml:space="preserve">超出价值部分征 </t>
    </r>
    <r>
      <rPr>
        <sz val="10"/>
        <rFont val="Arial"/>
        <family val="0"/>
        <charset val="1"/>
      </rPr>
      <t xml:space="preserve">30%</t>
    </r>
    <r>
      <rPr>
        <sz val="10"/>
        <rFont val="WenQuanYi Zen Hei"/>
        <family val="2"/>
      </rPr>
      <t xml:space="preserve">，且不低于超出重量部分每公斤 </t>
    </r>
    <r>
      <rPr>
        <sz val="10"/>
        <rFont val="Arial"/>
        <family val="0"/>
        <charset val="1"/>
      </rPr>
      <t xml:space="preserve">4 </t>
    </r>
    <r>
      <rPr>
        <sz val="10"/>
        <rFont val="WenQuanYi Zen Hei"/>
        <family val="2"/>
      </rPr>
      <t xml:space="preserve">欧元</t>
    </r>
  </si>
  <si>
    <r>
      <rPr>
        <sz val="10"/>
        <rFont val="Arial"/>
        <family val="0"/>
        <charset val="1"/>
      </rPr>
      <t xml:space="preserve">2024-04-01 </t>
    </r>
    <r>
      <rPr>
        <sz val="10"/>
        <rFont val="WenQuanYi Zen Hei"/>
        <family val="2"/>
      </rPr>
      <t xml:space="preserve">起</t>
    </r>
  </si>
  <si>
    <t xml:space="preserve">超额物品须填写旅客报关单</t>
  </si>
  <si>
    <t xml:space="preserve">S036, S016</t>
  </si>
  <si>
    <t xml:space="preserve">随身行李（航空）</t>
  </si>
  <si>
    <r>
      <rPr>
        <sz val="10"/>
        <rFont val="Arial"/>
        <family val="0"/>
        <charset val="1"/>
      </rPr>
      <t xml:space="preserve">10,000 </t>
    </r>
    <r>
      <rPr>
        <sz val="10"/>
        <rFont val="WenQuanYi Zen Hei"/>
        <family val="2"/>
      </rPr>
      <t xml:space="preserve">欧元</t>
    </r>
  </si>
  <si>
    <r>
      <rPr>
        <sz val="10"/>
        <rFont val="Arial"/>
        <family val="0"/>
        <charset val="1"/>
      </rPr>
      <t xml:space="preserve">50 </t>
    </r>
    <r>
      <rPr>
        <sz val="10"/>
        <rFont val="WenQuanYi Zen Hei"/>
        <family val="2"/>
      </rPr>
      <t xml:space="preserve">公斤</t>
    </r>
  </si>
  <si>
    <r>
      <rPr>
        <sz val="10"/>
        <rFont val="WenQuanYi Zen Hei"/>
        <family val="2"/>
      </rPr>
      <t xml:space="preserve">同上（</t>
    </r>
    <r>
      <rPr>
        <sz val="10"/>
        <rFont val="Arial"/>
        <family val="0"/>
        <charset val="1"/>
      </rPr>
      <t xml:space="preserve">30%</t>
    </r>
    <r>
      <rPr>
        <sz val="10"/>
        <rFont val="WenQuanYi Zen Hei"/>
        <family val="2"/>
      </rPr>
      <t xml:space="preserve">，不低于 </t>
    </r>
    <r>
      <rPr>
        <sz val="10"/>
        <rFont val="Arial"/>
        <family val="0"/>
        <charset val="1"/>
      </rPr>
      <t xml:space="preserve">4 </t>
    </r>
    <r>
      <rPr>
        <sz val="10"/>
        <rFont val="WenQuanYi Zen Hei"/>
        <family val="2"/>
      </rPr>
      <t xml:space="preserve">欧元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公斤）</t>
    </r>
  </si>
  <si>
    <r>
      <rPr>
        <sz val="10"/>
        <rFont val="Arial"/>
        <family val="0"/>
        <charset val="1"/>
      </rPr>
      <t xml:space="preserve">2024-04-01 </t>
    </r>
    <r>
      <rPr>
        <sz val="10"/>
        <rFont val="WenQuanYi Zen Hei"/>
        <family val="2"/>
      </rPr>
      <t xml:space="preserve">起未变</t>
    </r>
  </si>
  <si>
    <t xml:space="preserve">S036</t>
  </si>
  <si>
    <t xml:space="preserve">国际邮件，以及承运人交付给个人的货物</t>
  </si>
  <si>
    <r>
      <rPr>
        <sz val="10"/>
        <rFont val="Arial"/>
        <family val="0"/>
        <charset val="1"/>
      </rPr>
      <t xml:space="preserve">200 </t>
    </r>
    <r>
      <rPr>
        <sz val="10"/>
        <rFont val="WenQuanYi Zen Hei"/>
        <family val="2"/>
      </rPr>
      <t xml:space="preserve">欧元</t>
    </r>
  </si>
  <si>
    <r>
      <rPr>
        <sz val="10"/>
        <rFont val="Arial"/>
        <family val="0"/>
        <charset val="1"/>
      </rPr>
      <t xml:space="preserve">31 </t>
    </r>
    <r>
      <rPr>
        <sz val="10"/>
        <rFont val="WenQuanYi Zen Hei"/>
        <family val="2"/>
      </rPr>
      <t xml:space="preserve">公斤</t>
    </r>
  </si>
  <si>
    <r>
      <rPr>
        <sz val="10"/>
        <rFont val="WenQuanYi Zen Hei"/>
        <family val="2"/>
      </rPr>
      <t xml:space="preserve">超额部分征 </t>
    </r>
    <r>
      <rPr>
        <sz val="10"/>
        <rFont val="Arial"/>
        <family val="0"/>
        <charset val="1"/>
      </rPr>
      <t xml:space="preserve">15%</t>
    </r>
    <r>
      <rPr>
        <sz val="10"/>
        <rFont val="WenQuanYi Zen Hei"/>
        <family val="2"/>
      </rPr>
      <t xml:space="preserve">，不低于每公斤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欧元</t>
    </r>
  </si>
  <si>
    <r>
      <rPr>
        <sz val="10"/>
        <rFont val="Arial"/>
        <family val="0"/>
        <charset val="1"/>
      </rPr>
      <t xml:space="preserve">2024-04-01 </t>
    </r>
    <r>
      <rPr>
        <sz val="10"/>
        <rFont val="WenQuanYi Zen Hei"/>
        <family val="2"/>
      </rPr>
      <t xml:space="preserve">起（此前临时限额 </t>
    </r>
    <r>
      <rPr>
        <sz val="10"/>
        <rFont val="Arial"/>
        <family val="0"/>
        <charset val="1"/>
      </rPr>
      <t xml:space="preserve">1,000 </t>
    </r>
    <r>
      <rPr>
        <sz val="10"/>
        <rFont val="WenQuanYi Zen Hei"/>
        <family val="2"/>
      </rPr>
      <t xml:space="preserve">欧元</t>
    </r>
    <r>
      <rPr>
        <sz val="10"/>
        <rFont val="Arial"/>
        <family val="0"/>
        <charset val="1"/>
      </rPr>
      <t xml:space="preserve">/31 </t>
    </r>
    <r>
      <rPr>
        <sz val="10"/>
        <rFont val="WenQuanYi Zen Hei"/>
        <family val="2"/>
      </rPr>
      <t xml:space="preserve">公斤延至 </t>
    </r>
    <r>
      <rPr>
        <sz val="10"/>
        <rFont val="Arial"/>
        <family val="0"/>
        <charset val="1"/>
      </rPr>
      <t xml:space="preserve">2024-04-01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</si>
  <si>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自 </t>
    </r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成员国寄来的包裹自 </t>
    </r>
    <r>
      <rPr>
        <sz val="10"/>
        <rFont val="Arial"/>
        <family val="0"/>
        <charset val="1"/>
      </rPr>
      <t xml:space="preserve">2025-11-02 </t>
    </r>
    <r>
      <rPr>
        <sz val="10"/>
        <rFont val="WenQuanYi Zen Hei"/>
        <family val="2"/>
      </rPr>
      <t xml:space="preserve">起须送至监管地点检查</t>
    </r>
  </si>
  <si>
    <t xml:space="preserve">S018, S017, S039</t>
  </si>
  <si>
    <r>
      <rPr>
        <sz val="10"/>
        <rFont val="WenQuanYi Zen Hei"/>
        <family val="2"/>
      </rPr>
      <t xml:space="preserve">在外国电商平台购买（</t>
    </r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新规）</t>
    </r>
  </si>
  <si>
    <r>
      <rPr>
        <sz val="10"/>
        <rFont val="Arial"/>
        <family val="0"/>
        <charset val="1"/>
      </rPr>
      <t xml:space="preserve">200 </t>
    </r>
    <r>
      <rPr>
        <sz val="10"/>
        <rFont val="WenQuanYi Zen Hei"/>
        <family val="2"/>
      </rPr>
      <t xml:space="preserve">欧元（今后可能调整）</t>
    </r>
  </si>
  <si>
    <r>
      <rPr>
        <sz val="10"/>
        <rFont val="WenQuanYi Zen Hei"/>
        <family val="2"/>
      </rPr>
      <t xml:space="preserve">超出免税额时，按全部购买价值征 </t>
    </r>
    <r>
      <rPr>
        <sz val="10"/>
        <rFont val="Arial"/>
        <family val="0"/>
        <charset val="1"/>
      </rPr>
      <t xml:space="preserve">5% </t>
    </r>
    <r>
      <rPr>
        <sz val="10"/>
        <rFont val="WenQuanYi Zen Hei"/>
        <family val="2"/>
      </rPr>
      <t xml:space="preserve">关税（另加各国增值税），不低于每公斤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欧元</t>
    </r>
  </si>
  <si>
    <r>
      <rPr>
        <sz val="10"/>
        <rFont val="WenQuanYi Zen Hei"/>
        <family val="2"/>
      </rPr>
      <t xml:space="preserve">原计划 </t>
    </r>
    <r>
      <rPr>
        <sz val="10"/>
        <rFont val="Arial"/>
        <family val="0"/>
        <charset val="1"/>
      </rPr>
      <t xml:space="preserve">2026-07-01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2026-08 EAEU </t>
    </r>
    <r>
      <rPr>
        <sz val="10"/>
        <rFont val="WenQuanYi Zen Hei"/>
        <family val="2"/>
      </rPr>
      <t xml:space="preserve">政府首脑要求 </t>
    </r>
    <r>
      <rPr>
        <sz val="10"/>
        <rFont val="Arial"/>
        <family val="0"/>
        <charset val="1"/>
      </rPr>
      <t xml:space="preserve">2027-01-01 </t>
    </r>
    <r>
      <rPr>
        <sz val="10"/>
        <rFont val="WenQuanYi Zen Hei"/>
        <family val="2"/>
      </rPr>
      <t xml:space="preserve">起落实（待最后一个成员国交存批准书）</t>
    </r>
  </si>
  <si>
    <t xml:space="preserve">跨境电商商品将成为《海关法典》中的独立类别；税率细节只见于摘要</t>
  </si>
  <si>
    <t xml:space="preserve">S073, S037, S038</t>
  </si>
  <si>
    <t xml:space="preserve">汽车是中国对白俄出口的重点品类，也是白俄政策变动最频繁的领域</t>
  </si>
  <si>
    <t xml:space="preserve">项目</t>
  </si>
  <si>
    <t xml:space="preserve">内容</t>
  </si>
  <si>
    <t xml:space="preserve">乘用车进口关税（商业进口）</t>
  </si>
  <si>
    <r>
      <rPr>
        <sz val="10"/>
        <rFont val="Arial"/>
        <family val="0"/>
        <charset val="1"/>
      </rPr>
      <t xml:space="preserve">ЕТТ </t>
    </r>
    <r>
      <rPr>
        <sz val="10"/>
        <rFont val="WenQuanYi Zen Hei"/>
        <family val="2"/>
      </rPr>
      <t xml:space="preserve">税率为完税价格的 </t>
    </r>
    <r>
      <rPr>
        <sz val="10"/>
        <rFont val="Arial"/>
        <family val="0"/>
        <charset val="1"/>
      </rPr>
      <t xml:space="preserve">15%</t>
    </r>
    <r>
      <rPr>
        <sz val="10"/>
        <rFont val="WenQuanYi Zen Hei"/>
        <family val="2"/>
      </rPr>
      <t xml:space="preserve">。</t>
    </r>
    <r>
      <rPr>
        <sz val="10"/>
        <rFont val="Arial"/>
        <family val="0"/>
        <charset val="1"/>
      </rPr>
      <t xml:space="preserve">EEC </t>
    </r>
    <r>
      <rPr>
        <sz val="10"/>
        <rFont val="WenQuanYi Zen Hei"/>
        <family val="2"/>
      </rPr>
      <t xml:space="preserve">委员会 </t>
    </r>
    <r>
      <rPr>
        <sz val="10"/>
        <rFont val="Arial"/>
        <family val="0"/>
        <charset val="1"/>
      </rPr>
      <t xml:space="preserve">2025-09-23 </t>
    </r>
    <r>
      <rPr>
        <sz val="10"/>
        <rFont val="WenQuanYi Zen Hei"/>
        <family val="2"/>
      </rPr>
      <t xml:space="preserve">决定为电动车、混动车单列商品编码，但不改变税率；个人自用车适用的统一税率也不变</t>
    </r>
  </si>
  <si>
    <r>
      <rPr>
        <sz val="10"/>
        <rFont val="Arial"/>
        <family val="0"/>
        <charset val="1"/>
      </rPr>
      <t xml:space="preserve">2025-10 </t>
    </r>
    <r>
      <rPr>
        <sz val="10"/>
        <rFont val="WenQuanYi Zen Hei"/>
        <family val="2"/>
      </rPr>
      <t xml:space="preserve">起</t>
    </r>
  </si>
  <si>
    <t xml:space="preserve">S040</t>
  </si>
  <si>
    <r>
      <rPr>
        <sz val="10"/>
        <rFont val="WenQuanYi Zen Hei"/>
        <family val="2"/>
      </rPr>
      <t xml:space="preserve">电动车定义（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年起）</t>
    </r>
  </si>
  <si>
    <r>
      <rPr>
        <sz val="10"/>
        <rFont val="WenQuanYi Zen Hei"/>
        <family val="2"/>
      </rPr>
      <t xml:space="preserve">只有完全由电动机驱动、不带汽油发电机的车辆才算“电动车”；各类串联式混动（含增程式 </t>
    </r>
    <r>
      <rPr>
        <sz val="10"/>
        <rFont val="Arial"/>
        <family val="0"/>
        <charset val="1"/>
      </rPr>
      <t xml:space="preserve">REEV</t>
    </r>
    <r>
      <rPr>
        <sz val="10"/>
        <rFont val="WenQuanYi Zen Hei"/>
        <family val="2"/>
      </rPr>
      <t xml:space="preserve">）不再算电动车</t>
    </r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</si>
  <si>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年起</t>
    </r>
  </si>
  <si>
    <t xml:space="preserve">混动车税负</t>
  </si>
  <si>
    <r>
      <rPr>
        <sz val="10"/>
        <rFont val="WenQuanYi Zen Hei"/>
        <family val="2"/>
      </rPr>
      <t xml:space="preserve">混动车按 </t>
    </r>
    <r>
      <rPr>
        <sz val="10"/>
        <rFont val="Arial"/>
        <family val="0"/>
        <charset val="1"/>
      </rPr>
      <t xml:space="preserve">15% </t>
    </r>
    <r>
      <rPr>
        <sz val="10"/>
        <rFont val="WenQuanYi Zen Hei"/>
        <family val="2"/>
      </rPr>
      <t xml:space="preserve">关税 </t>
    </r>
    <r>
      <rPr>
        <sz val="10"/>
        <rFont val="Arial"/>
        <family val="0"/>
        <charset val="1"/>
      </rPr>
      <t xml:space="preserve">+ 20% </t>
    </r>
    <r>
      <rPr>
        <sz val="10"/>
        <rFont val="WenQuanYi Zen Hei"/>
        <family val="2"/>
      </rPr>
      <t xml:space="preserve">增值税征收，不享受电动车优惠</t>
    </r>
  </si>
  <si>
    <t xml:space="preserve">S044, S077</t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</si>
  <si>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年配额 </t>
    </r>
    <r>
      <rPr>
        <sz val="10"/>
        <rFont val="Arial"/>
        <family val="0"/>
        <charset val="1"/>
      </rPr>
      <t xml:space="preserve">20,000 </t>
    </r>
    <r>
      <rPr>
        <sz val="10"/>
        <rFont val="WenQuanYi Zen Hei"/>
        <family val="2"/>
      </rPr>
      <t xml:space="preserve">辆（法人 </t>
    </r>
    <r>
      <rPr>
        <sz val="10"/>
        <rFont val="Arial"/>
        <family val="0"/>
        <charset val="1"/>
      </rPr>
      <t xml:space="preserve">13,800 </t>
    </r>
    <r>
      <rPr>
        <sz val="10"/>
        <rFont val="WenQuanYi Zen Hei"/>
        <family val="2"/>
      </rPr>
      <t xml:space="preserve">辆、个人 </t>
    </r>
    <r>
      <rPr>
        <sz val="10"/>
        <rFont val="Arial"/>
        <family val="0"/>
        <charset val="1"/>
      </rPr>
      <t xml:space="preserve">6,200 </t>
    </r>
    <r>
      <rPr>
        <sz val="10"/>
        <rFont val="WenQuanYi Zen Hei"/>
        <family val="2"/>
      </rPr>
      <t xml:space="preserve">辆），依据 </t>
    </r>
    <r>
      <rPr>
        <sz val="10"/>
        <rFont val="Arial"/>
        <family val="0"/>
        <charset val="1"/>
      </rPr>
      <t xml:space="preserve">EEC </t>
    </r>
    <r>
      <rPr>
        <sz val="10"/>
        <rFont val="WenQuanYi Zen Hei"/>
        <family val="2"/>
      </rPr>
      <t xml:space="preserve">理事会决定，</t>
    </r>
    <r>
      <rPr>
        <sz val="10"/>
        <rFont val="Arial"/>
        <family val="0"/>
        <charset val="1"/>
      </rPr>
      <t xml:space="preserve">2026-01-22 </t>
    </r>
    <r>
      <rPr>
        <sz val="10"/>
        <rFont val="WenQuanYi Zen Hei"/>
        <family val="2"/>
      </rPr>
      <t xml:space="preserve">起执行</t>
    </r>
  </si>
  <si>
    <t xml:space="preserve">2026</t>
  </si>
  <si>
    <t xml:space="preserve">S044, S021</t>
  </si>
  <si>
    <t xml:space="preserve">配额使用情况</t>
  </si>
  <si>
    <r>
      <rPr>
        <sz val="10"/>
        <rFont val="WenQuanYi Zen Hei"/>
        <family val="2"/>
      </rPr>
      <t xml:space="preserve">法人配额已用完（</t>
    </r>
    <r>
      <rPr>
        <sz val="10"/>
        <rFont val="Arial"/>
        <family val="0"/>
        <charset val="1"/>
      </rPr>
      <t xml:space="preserve">BelTA </t>
    </r>
    <r>
      <rPr>
        <sz val="10"/>
        <rFont val="WenQuanYi Zen Hei"/>
        <family val="2"/>
      </rPr>
      <t xml:space="preserve">报道）；个人配额于 </t>
    </r>
    <r>
      <rPr>
        <sz val="10"/>
        <rFont val="Arial"/>
        <family val="0"/>
        <charset val="1"/>
      </rPr>
      <t xml:space="preserve">2026-09 </t>
    </r>
    <r>
      <rPr>
        <sz val="10"/>
        <rFont val="WenQuanYi Zen Hei"/>
        <family val="2"/>
      </rPr>
      <t xml:space="preserve">用完</t>
    </r>
  </si>
  <si>
    <r>
      <rPr>
        <sz val="10"/>
        <rFont val="WenQuanYi Zen Hei"/>
        <family val="2"/>
      </rPr>
      <t xml:space="preserve">截至 </t>
    </r>
    <r>
      <rPr>
        <sz val="10"/>
        <rFont val="Arial"/>
        <family val="0"/>
        <charset val="1"/>
      </rPr>
      <t xml:space="preserve">2026-09</t>
    </r>
  </si>
  <si>
    <t xml:space="preserve">S076, S075</t>
  </si>
  <si>
    <t xml:space="preserve">电动车增值税</t>
  </si>
  <si>
    <r>
      <rPr>
        <sz val="10"/>
        <rFont val="WenQuanYi Zen Hei"/>
        <family val="2"/>
      </rPr>
      <t xml:space="preserve">配额用完不影响个人进口出厂 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年以内电动车的增值税免征；该免税延长至 </t>
    </r>
    <r>
      <rPr>
        <sz val="10"/>
        <rFont val="Arial"/>
        <family val="0"/>
        <charset val="1"/>
      </rPr>
      <t xml:space="preserve">2028-12-31</t>
    </r>
  </si>
  <si>
    <r>
      <rPr>
        <sz val="10"/>
        <rFont val="WenQuanYi Zen Hei"/>
        <family val="2"/>
      </rPr>
      <t xml:space="preserve">至 </t>
    </r>
    <r>
      <rPr>
        <sz val="10"/>
        <rFont val="Arial"/>
        <family val="0"/>
        <charset val="1"/>
      </rPr>
      <t xml:space="preserve">2028-12-31</t>
    </r>
  </si>
  <si>
    <t xml:space="preserve">S075</t>
  </si>
  <si>
    <r>
      <rPr>
        <sz val="10"/>
        <rFont val="WenQuanYi Zen Hei"/>
        <family val="2"/>
      </rPr>
      <t xml:space="preserve">报废税（个人 </t>
    </r>
    <r>
      <rPr>
        <sz val="10"/>
        <rFont val="Arial"/>
        <family val="0"/>
        <charset val="1"/>
      </rPr>
      <t xml:space="preserve">M1 </t>
    </r>
    <r>
      <rPr>
        <sz val="10"/>
        <rFont val="WenQuanYi Zen Hei"/>
        <family val="2"/>
      </rPr>
      <t xml:space="preserve">类乘用车）</t>
    </r>
  </si>
  <si>
    <r>
      <rPr>
        <sz val="10"/>
        <rFont val="WenQuanYi Zen Hei"/>
        <family val="2"/>
      </rPr>
      <t xml:space="preserve">出厂 ≤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年：</t>
    </r>
    <r>
      <rPr>
        <sz val="10"/>
        <rFont val="Arial"/>
        <family val="0"/>
        <charset val="1"/>
      </rPr>
      <t xml:space="preserve">544.5 BYN → 624.92 BYN</t>
    </r>
    <r>
      <rPr>
        <sz val="10"/>
        <rFont val="WenQuanYi Zen Hei"/>
        <family val="2"/>
      </rPr>
      <t xml:space="preserve">；出厂 </t>
    </r>
    <r>
      <rPr>
        <sz val="10"/>
        <rFont val="Arial"/>
        <family val="0"/>
        <charset val="1"/>
      </rPr>
      <t xml:space="preserve">&gt;3 </t>
    </r>
    <r>
      <rPr>
        <sz val="10"/>
        <rFont val="WenQuanYi Zen Hei"/>
        <family val="2"/>
      </rPr>
      <t xml:space="preserve">年：</t>
    </r>
    <r>
      <rPr>
        <sz val="10"/>
        <rFont val="Arial"/>
        <family val="0"/>
        <charset val="1"/>
      </rPr>
      <t xml:space="preserve">1,089 BYN → 1,282.02 BYN</t>
    </r>
    <r>
      <rPr>
        <sz val="10"/>
        <rFont val="WenQuanYi Zen Hei"/>
        <family val="2"/>
      </rPr>
      <t xml:space="preserve">（与发动机类型和排量无关）</t>
    </r>
  </si>
  <si>
    <r>
      <rPr>
        <sz val="10"/>
        <rFont val="Arial"/>
        <family val="0"/>
        <charset val="1"/>
      </rPr>
      <t xml:space="preserve">2026-04-29 </t>
    </r>
    <r>
      <rPr>
        <sz val="10"/>
        <rFont val="WenQuanYi Zen Hei"/>
        <family val="2"/>
      </rPr>
      <t xml:space="preserve">起</t>
    </r>
  </si>
  <si>
    <t xml:space="preserve">S043, S074</t>
  </si>
  <si>
    <t xml:space="preserve">报废税（整体）</t>
  </si>
  <si>
    <r>
      <rPr>
        <sz val="10"/>
        <rFont val="WenQuanYi Zen Hei"/>
        <family val="2"/>
      </rPr>
      <t xml:space="preserve">整体上调约 </t>
    </r>
    <r>
      <rPr>
        <sz val="10"/>
        <rFont val="Arial"/>
        <family val="0"/>
        <charset val="1"/>
      </rPr>
      <t xml:space="preserve">7%</t>
    </r>
    <r>
      <rPr>
        <sz val="10"/>
        <rFont val="WenQuanYi Zen Hei"/>
        <family val="2"/>
      </rPr>
      <t xml:space="preserve">；部分品目出于保护国内市场的考虑成倍提高；新增底盘税率；本国车企承担回收义务的可以免缴</t>
    </r>
  </si>
  <si>
    <t xml:space="preserve">S043</t>
  </si>
  <si>
    <t xml:space="preserve">报废税（上一次调整）</t>
  </si>
  <si>
    <r>
      <rPr>
        <sz val="10"/>
        <rFont val="Arial"/>
        <family val="0"/>
        <charset val="1"/>
      </rPr>
      <t xml:space="preserve">2025-02-10 </t>
    </r>
    <r>
      <rPr>
        <sz val="10"/>
        <rFont val="WenQuanYi Zen Hei"/>
        <family val="2"/>
      </rPr>
      <t xml:space="preserve">起调整过一次报废税税率</t>
    </r>
  </si>
  <si>
    <t xml:space="preserve">2025-02-10</t>
  </si>
  <si>
    <t xml:space="preserve">S020</t>
  </si>
  <si>
    <t xml:space="preserve">个人自用车统一税率表</t>
  </si>
  <si>
    <r>
      <rPr>
        <sz val="10"/>
        <rFont val="WenQuanYi Zen Hei"/>
        <family val="2"/>
      </rPr>
      <t xml:space="preserve">按车龄（≤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年、</t>
    </r>
    <r>
      <rPr>
        <sz val="10"/>
        <rFont val="Arial"/>
        <family val="0"/>
        <charset val="1"/>
      </rPr>
      <t xml:space="preserve">3–5 </t>
    </r>
    <r>
      <rPr>
        <sz val="10"/>
        <rFont val="WenQuanYi Zen Hei"/>
        <family val="2"/>
      </rPr>
      <t xml:space="preserve">年、</t>
    </r>
    <r>
      <rPr>
        <sz val="10"/>
        <rFont val="Arial"/>
        <family val="0"/>
        <charset val="1"/>
      </rPr>
      <t xml:space="preserve">&gt;5 </t>
    </r>
    <r>
      <rPr>
        <sz val="10"/>
        <rFont val="WenQuanYi Zen Hei"/>
        <family val="2"/>
      </rPr>
      <t xml:space="preserve">年）和排量分档，以欧元计；具体税额未能获取原文，请使用 </t>
    </r>
    <r>
      <rPr>
        <sz val="10"/>
        <rFont val="Arial"/>
        <family val="0"/>
        <charset val="1"/>
      </rPr>
      <t xml:space="preserve">ГТК </t>
    </r>
    <r>
      <rPr>
        <sz val="10"/>
        <rFont val="WenQuanYi Zen Hei"/>
        <family val="2"/>
      </rPr>
      <t xml:space="preserve">计算器</t>
    </r>
  </si>
  <si>
    <t xml:space="preserve">S015</t>
  </si>
  <si>
    <t xml:space="preserve">主要市场对白俄商品的关税待遇</t>
  </si>
  <si>
    <r>
      <rPr>
        <i val="true"/>
        <sz val="9"/>
        <color rgb="FF595959"/>
        <rFont val="WenQuanYi Zen Hei"/>
        <family val="2"/>
      </rPr>
      <t xml:space="preserve">反映白俄的出口环境；欧美数据来自欧盟和美国官方来源，并与 </t>
    </r>
    <r>
      <rPr>
        <i val="true"/>
        <sz val="9"/>
        <color rgb="FF595959"/>
        <rFont val="Arial"/>
        <family val="0"/>
        <charset val="1"/>
      </rPr>
      <t xml:space="preserve">BelTA </t>
    </r>
    <r>
      <rPr>
        <i val="true"/>
        <sz val="9"/>
        <color rgb="FF595959"/>
        <rFont val="WenQuanYi Zen Hei"/>
        <family val="2"/>
      </rPr>
      <t xml:space="preserve">报道交叉核对</t>
    </r>
  </si>
  <si>
    <t xml:space="preserve">市场</t>
  </si>
  <si>
    <r>
      <rPr>
        <b val="true"/>
        <sz val="10"/>
        <color rgb="FFFFFFFF"/>
        <rFont val="WenQuanYi Zen Hei"/>
        <family val="2"/>
      </rPr>
      <t xml:space="preserve">措施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协定</t>
    </r>
  </si>
  <si>
    <r>
      <rPr>
        <b val="true"/>
        <sz val="10"/>
        <color rgb="FFFFFFFF"/>
        <rFont val="WenQuanYi Zen Hei"/>
        <family val="2"/>
      </rPr>
      <t xml:space="preserve">税率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内容</t>
    </r>
  </si>
  <si>
    <r>
      <rPr>
        <b val="true"/>
        <sz val="10"/>
        <color rgb="FFFFFFFF"/>
        <rFont val="WenQuanYi Zen Hei"/>
        <family val="2"/>
      </rPr>
      <t xml:space="preserve">生效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期限</t>
    </r>
  </si>
  <si>
    <t xml:space="preserve">欧盟</t>
  </si>
  <si>
    <r>
      <rPr>
        <sz val="10"/>
        <rFont val="Arial"/>
        <family val="0"/>
        <charset val="1"/>
      </rPr>
      <t xml:space="preserve">(EU) 2025/1227 </t>
    </r>
    <r>
      <rPr>
        <sz val="10"/>
        <rFont val="WenQuanYi Zen Hei"/>
        <family val="2"/>
      </rPr>
      <t xml:space="preserve">条例</t>
    </r>
  </si>
  <si>
    <r>
      <rPr>
        <sz val="10"/>
        <rFont val="WenQuanYi Zen Hei"/>
        <family val="2"/>
      </rPr>
      <t xml:space="preserve">附件 </t>
    </r>
    <r>
      <rPr>
        <sz val="10"/>
        <rFont val="Arial"/>
        <family val="0"/>
        <charset val="1"/>
      </rPr>
      <t xml:space="preserve">I </t>
    </r>
    <r>
      <rPr>
        <sz val="10"/>
        <rFont val="WenQuanYi Zen Hei"/>
        <family val="2"/>
      </rPr>
      <t xml:space="preserve">所列农产品（约 </t>
    </r>
    <r>
      <rPr>
        <sz val="10"/>
        <rFont val="Arial"/>
        <family val="0"/>
        <charset val="1"/>
      </rPr>
      <t xml:space="preserve">30 </t>
    </r>
    <r>
      <rPr>
        <sz val="10"/>
        <rFont val="WenQuanYi Zen Hei"/>
        <family val="2"/>
      </rPr>
      <t xml:space="preserve">个章节）</t>
    </r>
  </si>
  <si>
    <r>
      <rPr>
        <sz val="10"/>
        <rFont val="WenQuanYi Zen Hei"/>
        <family val="2"/>
      </rPr>
      <t xml:space="preserve">在欧盟共同关税基础上加征 </t>
    </r>
    <r>
      <rPr>
        <sz val="10"/>
        <rFont val="Arial"/>
        <family val="0"/>
        <charset val="1"/>
      </rPr>
      <t xml:space="preserve">50% </t>
    </r>
    <r>
      <rPr>
        <sz val="10"/>
        <rFont val="WenQuanYi Zen Hei"/>
        <family val="2"/>
      </rPr>
      <t xml:space="preserve">从价税</t>
    </r>
  </si>
  <si>
    <r>
      <rPr>
        <sz val="10"/>
        <rFont val="Arial"/>
        <family val="0"/>
        <charset val="1"/>
      </rPr>
      <t xml:space="preserve">2025-06-12 </t>
    </r>
    <r>
      <rPr>
        <sz val="10"/>
        <rFont val="WenQuanYi Zen Hei"/>
        <family val="2"/>
      </rPr>
      <t xml:space="preserve">通过，</t>
    </r>
    <r>
      <rPr>
        <sz val="10"/>
        <rFont val="Arial"/>
        <family val="0"/>
        <charset val="1"/>
      </rPr>
      <t xml:space="preserve">2025-07-01 </t>
    </r>
    <r>
      <rPr>
        <sz val="10"/>
        <rFont val="WenQuanYi Zen Hei"/>
        <family val="2"/>
      </rPr>
      <t xml:space="preserve">生效</t>
    </r>
  </si>
  <si>
    <t xml:space="preserve">白俄称之为“赤裸裸的贸易保护主义”</t>
  </si>
  <si>
    <t xml:space="preserve">S112, S111, S097</t>
  </si>
  <si>
    <r>
      <rPr>
        <sz val="10"/>
        <rFont val="WenQuanYi Zen Hei"/>
        <family val="2"/>
      </rPr>
      <t xml:space="preserve">氮肥及部分复合肥（</t>
    </r>
    <r>
      <rPr>
        <sz val="10"/>
        <rFont val="Arial"/>
        <family val="0"/>
        <charset val="1"/>
      </rPr>
      <t xml:space="preserve">3102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3105 20/30/40/51/59/90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</si>
  <si>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6.5% </t>
    </r>
    <r>
      <rPr>
        <sz val="10"/>
        <rFont val="WenQuanYi Zen Hei"/>
        <family val="2"/>
      </rPr>
      <t xml:space="preserve">从价税，另加从量税：</t>
    </r>
    <r>
      <rPr>
        <sz val="10"/>
        <rFont val="Arial"/>
        <family val="0"/>
        <charset val="1"/>
      </rPr>
      <t xml:space="preserve">2025-07 </t>
    </r>
    <r>
      <rPr>
        <sz val="10"/>
        <rFont val="WenQuanYi Zen Hei"/>
        <family val="2"/>
      </rPr>
      <t xml:space="preserve">至 </t>
    </r>
    <r>
      <rPr>
        <sz val="10"/>
        <rFont val="Arial"/>
        <family val="0"/>
        <charset val="1"/>
      </rPr>
      <t xml:space="preserve">2026-06 </t>
    </r>
    <r>
      <rPr>
        <sz val="10"/>
        <rFont val="WenQuanYi Zen Hei"/>
        <family val="2"/>
      </rPr>
      <t xml:space="preserve">为 </t>
    </r>
    <r>
      <rPr>
        <sz val="10"/>
        <rFont val="Arial"/>
        <family val="0"/>
        <charset val="1"/>
      </rPr>
      <t xml:space="preserve">40–45 </t>
    </r>
    <r>
      <rPr>
        <sz val="10"/>
        <rFont val="WenQuanYi Zen Hei"/>
        <family val="2"/>
      </rPr>
      <t xml:space="preserve">欧元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吨；</t>
    </r>
    <r>
      <rPr>
        <sz val="10"/>
        <rFont val="Arial"/>
        <family val="0"/>
        <charset val="1"/>
      </rPr>
      <t xml:space="preserve">2026-07 </t>
    </r>
    <r>
      <rPr>
        <sz val="10"/>
        <rFont val="WenQuanYi Zen Hei"/>
        <family val="2"/>
      </rPr>
      <t xml:space="preserve">至 </t>
    </r>
    <r>
      <rPr>
        <sz val="10"/>
        <rFont val="Arial"/>
        <family val="0"/>
        <charset val="1"/>
      </rPr>
      <t xml:space="preserve">2027-06 </t>
    </r>
    <r>
      <rPr>
        <sz val="10"/>
        <rFont val="WenQuanYi Zen Hei"/>
        <family val="2"/>
      </rPr>
      <t xml:space="preserve">为 </t>
    </r>
    <r>
      <rPr>
        <sz val="10"/>
        <rFont val="Arial"/>
        <family val="0"/>
        <charset val="1"/>
      </rPr>
      <t xml:space="preserve">60–70 </t>
    </r>
    <r>
      <rPr>
        <sz val="10"/>
        <rFont val="WenQuanYi Zen Hei"/>
        <family val="2"/>
      </rPr>
      <t xml:space="preserve">欧元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吨；</t>
    </r>
    <r>
      <rPr>
        <sz val="10"/>
        <rFont val="Arial"/>
        <family val="0"/>
        <charset val="1"/>
      </rPr>
      <t xml:space="preserve">2027-07 </t>
    </r>
    <r>
      <rPr>
        <sz val="10"/>
        <rFont val="WenQuanYi Zen Hei"/>
        <family val="2"/>
      </rPr>
      <t xml:space="preserve">至 </t>
    </r>
    <r>
      <rPr>
        <sz val="10"/>
        <rFont val="Arial"/>
        <family val="0"/>
        <charset val="1"/>
      </rPr>
      <t xml:space="preserve">2028-06 </t>
    </r>
    <r>
      <rPr>
        <sz val="10"/>
        <rFont val="WenQuanYi Zen Hei"/>
        <family val="2"/>
      </rPr>
      <t xml:space="preserve">为 </t>
    </r>
    <r>
      <rPr>
        <sz val="10"/>
        <rFont val="Arial"/>
        <family val="0"/>
        <charset val="1"/>
      </rPr>
      <t xml:space="preserve">80–95 </t>
    </r>
    <r>
      <rPr>
        <sz val="10"/>
        <rFont val="WenQuanYi Zen Hei"/>
        <family val="2"/>
      </rPr>
      <t xml:space="preserve">欧元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吨；之后最高升至 </t>
    </r>
    <r>
      <rPr>
        <sz val="10"/>
        <rFont val="Arial"/>
        <family val="0"/>
        <charset val="1"/>
      </rPr>
      <t xml:space="preserve">430 </t>
    </r>
    <r>
      <rPr>
        <sz val="10"/>
        <rFont val="WenQuanYi Zen Hei"/>
        <family val="2"/>
      </rPr>
      <t xml:space="preserve">欧元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吨</t>
    </r>
  </si>
  <si>
    <r>
      <rPr>
        <sz val="10"/>
        <rFont val="WenQuanYi Zen Hei"/>
        <family val="2"/>
      </rPr>
      <t xml:space="preserve">当前（</t>
    </r>
    <r>
      <rPr>
        <sz val="10"/>
        <rFont val="Arial"/>
        <family val="0"/>
        <charset val="1"/>
      </rPr>
      <t xml:space="preserve">2026-09</t>
    </r>
    <r>
      <rPr>
        <sz val="10"/>
        <rFont val="WenQuanYi Zen Hei"/>
        <family val="2"/>
      </rPr>
      <t xml:space="preserve">）处于 </t>
    </r>
    <r>
      <rPr>
        <sz val="10"/>
        <rFont val="Arial"/>
        <family val="0"/>
        <charset val="1"/>
      </rPr>
      <t xml:space="preserve">60–70 </t>
    </r>
    <r>
      <rPr>
        <sz val="10"/>
        <rFont val="WenQuanYi Zen Hei"/>
        <family val="2"/>
      </rPr>
      <t xml:space="preserve">欧元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吨阶段</t>
    </r>
  </si>
  <si>
    <t xml:space="preserve">白俄是欧盟第四大化肥供应国</t>
  </si>
  <si>
    <t xml:space="preserve">S111, S097</t>
  </si>
  <si>
    <t xml:space="preserve">制裁</t>
  </si>
  <si>
    <t xml:space="preserve">钾肥等</t>
  </si>
  <si>
    <r>
      <rPr>
        <sz val="10"/>
        <rFont val="WenQuanYi Zen Hei"/>
        <family val="2"/>
      </rPr>
      <t xml:space="preserve">截至 </t>
    </r>
    <r>
      <rPr>
        <sz val="10"/>
        <rFont val="Arial"/>
        <family val="0"/>
        <charset val="1"/>
      </rPr>
      <t xml:space="preserve">2025-12 </t>
    </r>
    <r>
      <rPr>
        <sz val="10"/>
        <rFont val="WenQuanYi Zen Hei"/>
        <family val="2"/>
      </rPr>
      <t xml:space="preserve">欧盟仍维持对白俄钾肥的制裁；匈牙利要求欧委会取消对白俄、俄罗斯化肥的关税</t>
    </r>
  </si>
  <si>
    <t xml:space="preserve">中东局势推高化肥需求，欧盟内部出现松动声音</t>
  </si>
  <si>
    <t xml:space="preserve">S098</t>
  </si>
  <si>
    <t xml:space="preserve">美国</t>
  </si>
  <si>
    <r>
      <rPr>
        <sz val="10"/>
        <rFont val="WenQuanYi Zen Hei"/>
        <family val="2"/>
      </rPr>
      <t xml:space="preserve">《暂停对俄罗斯和白俄罗斯正常贸易关系法》（</t>
    </r>
    <r>
      <rPr>
        <sz val="10"/>
        <rFont val="Arial"/>
        <family val="0"/>
        <charset val="1"/>
      </rPr>
      <t xml:space="preserve">Public Law 117-110</t>
    </r>
    <r>
      <rPr>
        <sz val="10"/>
        <rFont val="WenQuanYi Zen Hei"/>
        <family val="2"/>
      </rPr>
      <t xml:space="preserve">）</t>
    </r>
  </si>
  <si>
    <t xml:space="preserve">全部白俄原产商品</t>
  </si>
  <si>
    <r>
      <rPr>
        <sz val="10"/>
        <rFont val="WenQuanYi Zen Hei"/>
        <family val="2"/>
      </rPr>
      <t xml:space="preserve">不再适用最惠国税率，改按 </t>
    </r>
    <r>
      <rPr>
        <sz val="10"/>
        <rFont val="Arial"/>
        <family val="0"/>
        <charset val="1"/>
      </rPr>
      <t xml:space="preserve">HTSUS </t>
    </r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栏税率征税（第三方估计平均约 </t>
    </r>
    <r>
      <rPr>
        <sz val="10"/>
        <rFont val="Arial"/>
        <family val="0"/>
        <charset val="1"/>
      </rPr>
      <t xml:space="preserve">32.3%</t>
    </r>
    <r>
      <rPr>
        <sz val="10"/>
        <rFont val="WenQuanYi Zen Hei"/>
        <family val="2"/>
      </rPr>
      <t xml:space="preserve">，最惠国平均约 </t>
    </r>
    <r>
      <rPr>
        <sz val="10"/>
        <rFont val="Arial"/>
        <family val="0"/>
        <charset val="1"/>
      </rPr>
      <t xml:space="preserve">3.3%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</si>
  <si>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2022-04-09 </t>
    </r>
    <r>
      <rPr>
        <sz val="10"/>
        <rFont val="WenQuanYi Zen Hei"/>
        <family val="2"/>
      </rPr>
      <t xml:space="preserve">起</t>
    </r>
  </si>
  <si>
    <r>
      <rPr>
        <sz val="10"/>
        <rFont val="WenQuanYi Zen Hei"/>
        <family val="2"/>
      </rPr>
      <t xml:space="preserve">法律规定了恢复第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栏税率的条件；本次未检索到恢复的消息</t>
    </r>
  </si>
  <si>
    <t xml:space="preserve">S113, S114, S118</t>
  </si>
  <si>
    <t xml:space="preserve">制裁调整</t>
  </si>
  <si>
    <r>
      <rPr>
        <sz val="10"/>
        <rFont val="Arial"/>
        <family val="0"/>
        <charset val="1"/>
      </rPr>
      <t xml:space="preserve">Belavia</t>
    </r>
    <r>
      <rPr>
        <sz val="10"/>
        <rFont val="WenQuanYi Zen Hei"/>
        <family val="2"/>
      </rPr>
      <t xml:space="preserve">；白俄钾肥公司、</t>
    </r>
    <r>
      <rPr>
        <sz val="10"/>
        <rFont val="Arial"/>
        <family val="0"/>
        <charset val="1"/>
      </rPr>
      <t xml:space="preserve">Belaruskali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Belinvestbank</t>
    </r>
    <r>
      <rPr>
        <sz val="10"/>
        <rFont val="WenQuanYi Zen Hei"/>
        <family val="2"/>
      </rPr>
      <t xml:space="preserve">、开发银行、财政部</t>
    </r>
  </si>
  <si>
    <r>
      <rPr>
        <sz val="10"/>
        <rFont val="Arial"/>
        <family val="0"/>
        <charset val="1"/>
      </rPr>
      <t xml:space="preserve">Belavia </t>
    </r>
    <r>
      <rPr>
        <sz val="10"/>
        <rFont val="WenQuanYi Zen Hei"/>
        <family val="2"/>
      </rPr>
      <t xml:space="preserve">于 </t>
    </r>
    <r>
      <rPr>
        <sz val="10"/>
        <rFont val="Arial"/>
        <family val="0"/>
        <charset val="1"/>
      </rPr>
      <t xml:space="preserve">2025-09 </t>
    </r>
    <r>
      <rPr>
        <sz val="10"/>
        <rFont val="WenQuanYi Zen Hei"/>
        <family val="2"/>
      </rPr>
      <t xml:space="preserve">解除制裁；钾肥企业 </t>
    </r>
    <r>
      <rPr>
        <sz val="10"/>
        <rFont val="Arial"/>
        <family val="0"/>
        <charset val="1"/>
      </rPr>
      <t xml:space="preserve">2025-12 </t>
    </r>
    <r>
      <rPr>
        <sz val="10"/>
        <rFont val="WenQuanYi Zen Hei"/>
        <family val="2"/>
      </rPr>
      <t xml:space="preserve">宣布解除、</t>
    </r>
    <r>
      <rPr>
        <sz val="10"/>
        <rFont val="Arial"/>
        <family val="0"/>
        <charset val="1"/>
      </rPr>
      <t xml:space="preserve">2026-03 </t>
    </r>
    <r>
      <rPr>
        <sz val="10"/>
        <rFont val="WenQuanYi Zen Hei"/>
        <family val="2"/>
      </rPr>
      <t xml:space="preserve">最终落实；两家银行和财政部于 </t>
    </r>
    <r>
      <rPr>
        <sz val="10"/>
        <rFont val="Arial"/>
        <family val="0"/>
        <charset val="1"/>
      </rPr>
      <t xml:space="preserve">2026-03 </t>
    </r>
    <r>
      <rPr>
        <sz val="10"/>
        <rFont val="WenQuanYi Zen Hei"/>
        <family val="2"/>
      </rPr>
      <t xml:space="preserve">解除</t>
    </r>
  </si>
  <si>
    <t xml:space="preserve">2025–2026</t>
  </si>
  <si>
    <t xml:space="preserve">解除制裁不等于恢复正常贸易关系的关税待遇</t>
  </si>
  <si>
    <t xml:space="preserve">S101, S100, S099</t>
  </si>
  <si>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成员国</t>
    </r>
  </si>
  <si>
    <t xml:space="preserve">欧亚经济联盟</t>
  </si>
  <si>
    <t xml:space="preserve">全部原产商品</t>
  </si>
  <si>
    <t xml:space="preserve">零关税</t>
  </si>
  <si>
    <t xml:space="preserve">最大出口市场（俄罗斯）</t>
  </si>
  <si>
    <t xml:space="preserve">S029</t>
  </si>
  <si>
    <t xml:space="preserve">阿联酋</t>
  </si>
  <si>
    <r>
      <rPr>
        <sz val="10"/>
        <rFont val="Arial"/>
        <family val="0"/>
        <charset val="1"/>
      </rPr>
      <t xml:space="preserve">86% </t>
    </r>
    <r>
      <rPr>
        <sz val="10"/>
        <rFont val="WenQuanYi Zen Hei"/>
        <family val="2"/>
      </rPr>
      <t xml:space="preserve">税目</t>
    </r>
  </si>
  <si>
    <r>
      <rPr>
        <sz val="10"/>
        <rFont val="WenQuanYi Zen Hei"/>
        <family val="2"/>
      </rPr>
      <t xml:space="preserve">优惠准入，覆盖 </t>
    </r>
    <r>
      <rPr>
        <sz val="10"/>
        <rFont val="Arial"/>
        <family val="0"/>
        <charset val="1"/>
      </rPr>
      <t xml:space="preserve">98%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对阿出口</t>
    </r>
  </si>
  <si>
    <r>
      <rPr>
        <sz val="10"/>
        <rFont val="Arial"/>
        <family val="0"/>
        <charset val="1"/>
      </rPr>
      <t xml:space="preserve">2026-10-06 </t>
    </r>
    <r>
      <rPr>
        <sz val="10"/>
        <rFont val="WenQuanYi Zen Hei"/>
        <family val="2"/>
      </rPr>
      <t xml:space="preserve">起</t>
    </r>
  </si>
  <si>
    <t xml:space="preserve">阿联酋是白俄第三大贸易伙伴</t>
  </si>
  <si>
    <t xml:space="preserve">S082, S102</t>
  </si>
  <si>
    <t xml:space="preserve">印尼</t>
  </si>
  <si>
    <r>
      <rPr>
        <sz val="10"/>
        <rFont val="Arial"/>
        <family val="0"/>
        <charset val="1"/>
      </rPr>
      <t xml:space="preserve">90% </t>
    </r>
    <r>
      <rPr>
        <sz val="10"/>
        <rFont val="WenQuanYi Zen Hei"/>
        <family val="2"/>
      </rPr>
      <t xml:space="preserve">税目</t>
    </r>
  </si>
  <si>
    <r>
      <rPr>
        <sz val="10"/>
        <rFont val="WenQuanYi Zen Hei"/>
        <family val="2"/>
      </rPr>
      <t xml:space="preserve">平均税率由 </t>
    </r>
    <r>
      <rPr>
        <sz val="10"/>
        <rFont val="Arial"/>
        <family val="0"/>
        <charset val="1"/>
      </rPr>
      <t xml:space="preserve">10.2% </t>
    </r>
    <r>
      <rPr>
        <sz val="10"/>
        <rFont val="WenQuanYi Zen Hei"/>
        <family val="2"/>
      </rPr>
      <t xml:space="preserve">降至 </t>
    </r>
    <r>
      <rPr>
        <sz val="10"/>
        <rFont val="Arial"/>
        <family val="0"/>
        <charset val="1"/>
      </rPr>
      <t xml:space="preserve">2%</t>
    </r>
  </si>
  <si>
    <r>
      <rPr>
        <sz val="10"/>
        <rFont val="WenQuanYi Zen Hei"/>
        <family val="2"/>
      </rPr>
      <t xml:space="preserve">预计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年底前生效</t>
    </r>
  </si>
  <si>
    <t xml:space="preserve">S084, S085</t>
  </si>
  <si>
    <t xml:space="preserve">蒙古</t>
  </si>
  <si>
    <r>
      <rPr>
        <sz val="10"/>
        <rFont val="Arial"/>
        <family val="0"/>
        <charset val="1"/>
      </rPr>
      <t xml:space="preserve">367 </t>
    </r>
    <r>
      <rPr>
        <sz val="10"/>
        <rFont val="WenQuanYi Zen Hei"/>
        <family val="2"/>
      </rPr>
      <t xml:space="preserve">个税目</t>
    </r>
  </si>
  <si>
    <t xml:space="preserve">取消或降低关税</t>
  </si>
  <si>
    <r>
      <rPr>
        <sz val="10"/>
        <rFont val="Arial"/>
        <family val="0"/>
        <charset val="1"/>
      </rPr>
      <t xml:space="preserve">2026-07-22 </t>
    </r>
    <r>
      <rPr>
        <sz val="10"/>
        <rFont val="WenQuanYi Zen Hei"/>
        <family val="2"/>
      </rPr>
      <t xml:space="preserve">起</t>
    </r>
  </si>
  <si>
    <t xml:space="preserve">伊朗</t>
  </si>
  <si>
    <r>
      <rPr>
        <sz val="10"/>
        <rFont val="WenQuanYi Zen Hei"/>
        <family val="2"/>
      </rPr>
      <t xml:space="preserve">约 </t>
    </r>
    <r>
      <rPr>
        <sz val="10"/>
        <rFont val="Arial"/>
        <family val="0"/>
        <charset val="1"/>
      </rPr>
      <t xml:space="preserve">90% </t>
    </r>
    <r>
      <rPr>
        <sz val="10"/>
        <rFont val="WenQuanYi Zen Hei"/>
        <family val="2"/>
      </rPr>
      <t xml:space="preserve">税目</t>
    </r>
  </si>
  <si>
    <t xml:space="preserve">免关税</t>
  </si>
  <si>
    <r>
      <rPr>
        <sz val="10"/>
        <rFont val="Arial"/>
        <family val="0"/>
        <charset val="1"/>
      </rPr>
      <t xml:space="preserve">2025-05-15 </t>
    </r>
    <r>
      <rPr>
        <sz val="10"/>
        <rFont val="WenQuanYi Zen Hei"/>
        <family val="2"/>
      </rPr>
      <t xml:space="preserve">起</t>
    </r>
  </si>
  <si>
    <t xml:space="preserve">S060</t>
  </si>
  <si>
    <t xml:space="preserve">贸易格局</t>
  </si>
  <si>
    <t xml:space="preserve">白俄外交部</t>
  </si>
  <si>
    <r>
      <rPr>
        <sz val="10"/>
        <rFont val="WenQuanYi Zen Hei"/>
        <family val="2"/>
      </rPr>
      <t xml:space="preserve">前三大贸易伙伴为俄罗斯、中国、阿联酋，其后是波兰和德国；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年上半年中白货物贸易额约 </t>
    </r>
    <r>
      <rPr>
        <sz val="10"/>
        <rFont val="Arial"/>
        <family val="0"/>
        <charset val="1"/>
      </rPr>
      <t xml:space="preserve">37 </t>
    </r>
    <r>
      <rPr>
        <sz val="10"/>
        <rFont val="WenQuanYi Zen Hei"/>
        <family val="2"/>
      </rPr>
      <t xml:space="preserve">亿美元，同比增长 </t>
    </r>
    <r>
      <rPr>
        <sz val="10"/>
        <rFont val="Arial"/>
        <family val="0"/>
        <charset val="1"/>
      </rPr>
      <t xml:space="preserve">17%</t>
    </r>
  </si>
  <si>
    <t xml:space="preserve">中国是白俄第二大贸易伙伴</t>
  </si>
  <si>
    <t xml:space="preserve">S102, S103</t>
  </si>
  <si>
    <r>
      <rPr>
        <b val="true"/>
        <sz val="16"/>
        <color rgb="FF1F4E78"/>
        <rFont val="WenQuanYi Zen Hei"/>
        <family val="2"/>
      </rPr>
      <t xml:space="preserve">政策时间线（</t>
    </r>
    <r>
      <rPr>
        <b val="true"/>
        <sz val="16"/>
        <color rgb="FF1F4E78"/>
        <rFont val="Arial"/>
        <family val="0"/>
        <charset val="1"/>
      </rPr>
      <t xml:space="preserve">2015–2028</t>
    </r>
    <r>
      <rPr>
        <b val="true"/>
        <sz val="16"/>
        <color rgb="FF1F4E78"/>
        <rFont val="WenQuanYi Zen Hei"/>
        <family val="2"/>
      </rPr>
      <t xml:space="preserve">）</t>
    </r>
  </si>
  <si>
    <t xml:space="preserve">按时间排序；灰色斜体为预计或到期日期</t>
  </si>
  <si>
    <t xml:space="preserve">日期</t>
  </si>
  <si>
    <t xml:space="preserve">事件</t>
  </si>
  <si>
    <t xml:space="preserve">2015-01-01</t>
  </si>
  <si>
    <t xml:space="preserve">体系</t>
  </si>
  <si>
    <t xml:space="preserve">《欧亚经济联盟条约》生效</t>
  </si>
  <si>
    <t xml:space="preserve">2016-10-05</t>
  </si>
  <si>
    <t xml:space="preserve">自贸</t>
  </si>
  <si>
    <r>
      <rPr>
        <sz val="10"/>
        <rFont val="Arial"/>
        <family val="0"/>
        <charset val="1"/>
      </rPr>
      <t xml:space="preserve">EAEU–</t>
    </r>
    <r>
      <rPr>
        <sz val="10"/>
        <rFont val="WenQuanYi Zen Hei"/>
        <family val="2"/>
      </rPr>
      <t xml:space="preserve">越南自贸协定生效</t>
    </r>
  </si>
  <si>
    <t xml:space="preserve">2017-05-12</t>
  </si>
  <si>
    <t xml:space="preserve">白俄</t>
  </si>
  <si>
    <t xml:space="preserve">优惠</t>
  </si>
  <si>
    <r>
      <rPr>
        <sz val="10"/>
        <rFont val="WenQuanYi Zen Hei"/>
        <family val="2"/>
      </rPr>
      <t xml:space="preserve">总统令第 </t>
    </r>
    <r>
      <rPr>
        <sz val="10"/>
        <rFont val="Arial"/>
        <family val="0"/>
        <charset val="1"/>
      </rPr>
      <t xml:space="preserve">166 </t>
    </r>
    <r>
      <rPr>
        <sz val="10"/>
        <rFont val="WenQuanYi Zen Hei"/>
        <family val="2"/>
      </rPr>
      <t xml:space="preserve">号完善中白工业园“巨石”的特殊法律制度</t>
    </r>
  </si>
  <si>
    <t xml:space="preserve">S065</t>
  </si>
  <si>
    <t xml:space="preserve">2018-01-01</t>
  </si>
  <si>
    <r>
      <rPr>
        <sz val="10"/>
        <rFont val="WenQuanYi Zen Hei"/>
        <family val="2"/>
      </rPr>
      <t xml:space="preserve">《</t>
    </r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海关法典》施行</t>
    </r>
  </si>
  <si>
    <t xml:space="preserve">S030</t>
  </si>
  <si>
    <r>
      <rPr>
        <sz val="10"/>
        <rFont val="Arial"/>
        <family val="0"/>
        <charset val="1"/>
      </rPr>
      <t xml:space="preserve">EAEU–</t>
    </r>
    <r>
      <rPr>
        <sz val="10"/>
        <rFont val="WenQuanYi Zen Hei"/>
        <family val="2"/>
      </rPr>
      <t xml:space="preserve">新加坡自贸协定签署（生效状态存疑）</t>
    </r>
  </si>
  <si>
    <t xml:space="preserve">2019-10-25</t>
  </si>
  <si>
    <r>
      <rPr>
        <sz val="10"/>
        <rFont val="Arial"/>
        <family val="0"/>
        <charset val="1"/>
      </rPr>
      <t xml:space="preserve">EAEU–</t>
    </r>
    <r>
      <rPr>
        <sz val="10"/>
        <rFont val="WenQuanYi Zen Hei"/>
        <family val="2"/>
      </rPr>
      <t xml:space="preserve">中国经贸合作协定生效（非优惠协定）</t>
    </r>
  </si>
  <si>
    <t xml:space="preserve">S072</t>
  </si>
  <si>
    <t xml:space="preserve">2021</t>
  </si>
  <si>
    <r>
      <rPr>
        <sz val="10"/>
        <rFont val="Arial"/>
        <family val="0"/>
        <charset val="1"/>
      </rPr>
      <t xml:space="preserve">EEC </t>
    </r>
    <r>
      <rPr>
        <sz val="10"/>
        <rFont val="WenQuanYi Zen Hei"/>
        <family val="2"/>
      </rPr>
      <t xml:space="preserve">理事会把 </t>
    </r>
    <r>
      <rPr>
        <sz val="10"/>
        <rFont val="Arial"/>
        <family val="0"/>
        <charset val="1"/>
      </rPr>
      <t xml:space="preserve">77 </t>
    </r>
    <r>
      <rPr>
        <sz val="10"/>
        <rFont val="WenQuanYi Zen Hei"/>
        <family val="2"/>
      </rPr>
      <t xml:space="preserve">个国家移出普惠制受惠国名单（含中国）</t>
    </r>
  </si>
  <si>
    <t xml:space="preserve">S070</t>
  </si>
  <si>
    <t xml:space="preserve">2021-07-10</t>
  </si>
  <si>
    <r>
      <rPr>
        <sz val="10"/>
        <rFont val="Arial"/>
        <family val="0"/>
        <charset val="1"/>
      </rPr>
      <t xml:space="preserve">EAEU–</t>
    </r>
    <r>
      <rPr>
        <sz val="10"/>
        <rFont val="WenQuanYi Zen Hei"/>
        <family val="2"/>
      </rPr>
      <t xml:space="preserve">塞尔维亚自贸协定生效</t>
    </r>
  </si>
  <si>
    <t xml:space="preserve">2022-01-01</t>
  </si>
  <si>
    <t xml:space="preserve">反制</t>
  </si>
  <si>
    <t xml:space="preserve">对西方国家部分食品实施进口禁运（此后多次延长）</t>
  </si>
  <si>
    <t xml:space="preserve">S080</t>
  </si>
  <si>
    <t xml:space="preserve">2022-03-28</t>
  </si>
  <si>
    <t xml:space="preserve">外部</t>
  </si>
  <si>
    <r>
      <rPr>
        <sz val="10"/>
        <rFont val="WenQuanYi Zen Hei"/>
        <family val="2"/>
      </rPr>
      <t xml:space="preserve">部分 </t>
    </r>
    <r>
      <rPr>
        <sz val="10"/>
        <rFont val="Arial"/>
        <family val="0"/>
        <charset val="1"/>
      </rPr>
      <t xml:space="preserve">WTO </t>
    </r>
    <r>
      <rPr>
        <sz val="10"/>
        <rFont val="WenQuanYi Zen Hei"/>
        <family val="2"/>
      </rPr>
      <t xml:space="preserve">成员发表联合声明，暂停审议白俄入世申请</t>
    </r>
  </si>
  <si>
    <t xml:space="preserve">S109</t>
  </si>
  <si>
    <t xml:space="preserve">2022-04-09</t>
  </si>
  <si>
    <r>
      <rPr>
        <sz val="10"/>
        <rFont val="WenQuanYi Zen Hei"/>
        <family val="2"/>
      </rPr>
      <t xml:space="preserve">美国取消白俄正常贸易关系待遇，改用第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栏税率</t>
    </r>
  </si>
  <si>
    <t xml:space="preserve">S113</t>
  </si>
  <si>
    <t xml:space="preserve">2024-03-04</t>
  </si>
  <si>
    <t xml:space="preserve">增值税</t>
  </si>
  <si>
    <r>
      <rPr>
        <sz val="10"/>
        <rFont val="WenQuanYi Zen Hei"/>
        <family val="2"/>
      </rPr>
      <t xml:space="preserve">总统令第 </t>
    </r>
    <r>
      <rPr>
        <sz val="10"/>
        <rFont val="Arial"/>
        <family val="0"/>
        <charset val="1"/>
      </rPr>
      <t xml:space="preserve">77 </t>
    </r>
    <r>
      <rPr>
        <sz val="10"/>
        <rFont val="WenQuanYi Zen Hei"/>
        <family val="2"/>
      </rPr>
      <t xml:space="preserve">号：本国无同类产品的技术设备免进口增值税</t>
    </r>
  </si>
  <si>
    <t xml:space="preserve">S066</t>
  </si>
  <si>
    <t xml:space="preserve">2024-04-01</t>
  </si>
  <si>
    <t xml:space="preserve">个人物品</t>
  </si>
  <si>
    <r>
      <rPr>
        <sz val="10"/>
        <rFont val="WenQuanYi Zen Hei"/>
        <family val="2"/>
      </rPr>
      <t xml:space="preserve">国际邮件免税额降至 </t>
    </r>
    <r>
      <rPr>
        <sz val="10"/>
        <rFont val="Arial"/>
        <family val="0"/>
        <charset val="1"/>
      </rPr>
      <t xml:space="preserve">200 </t>
    </r>
    <r>
      <rPr>
        <sz val="10"/>
        <rFont val="WenQuanYi Zen Hei"/>
        <family val="2"/>
      </rPr>
      <t xml:space="preserve">欧元</t>
    </r>
    <r>
      <rPr>
        <sz val="10"/>
        <rFont val="Arial"/>
        <family val="0"/>
        <charset val="1"/>
      </rPr>
      <t xml:space="preserve">/31 </t>
    </r>
    <r>
      <rPr>
        <sz val="10"/>
        <rFont val="WenQuanYi Zen Hei"/>
        <family val="2"/>
      </rPr>
      <t xml:space="preserve">公斤</t>
    </r>
  </si>
  <si>
    <t xml:space="preserve">2024</t>
  </si>
  <si>
    <r>
      <rPr>
        <sz val="10"/>
        <rFont val="WenQuanYi Zen Hei"/>
        <family val="2"/>
      </rPr>
      <t xml:space="preserve">禁止经白俄–立陶宛边境口岸进口特定商品；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月扩大对波罗的海三国、波兰、捷克的进口禁令清单</t>
    </r>
  </si>
  <si>
    <t xml:space="preserve">S081, S052</t>
  </si>
  <si>
    <t xml:space="preserve">调整报废税税率</t>
  </si>
  <si>
    <t xml:space="preserve">2025-05-08</t>
  </si>
  <si>
    <r>
      <rPr>
        <sz val="10"/>
        <rFont val="Arial"/>
        <family val="0"/>
        <charset val="1"/>
      </rPr>
      <t xml:space="preserve">EEC </t>
    </r>
    <r>
      <rPr>
        <sz val="10"/>
        <rFont val="WenQuanYi Zen Hei"/>
        <family val="2"/>
      </rPr>
      <t xml:space="preserve">理事会调整普惠制受惠国名单</t>
    </r>
  </si>
  <si>
    <t xml:space="preserve">2025-05-15</t>
  </si>
  <si>
    <r>
      <rPr>
        <sz val="10"/>
        <rFont val="Arial"/>
        <family val="0"/>
        <charset val="1"/>
      </rPr>
      <t xml:space="preserve">EAEU–</t>
    </r>
    <r>
      <rPr>
        <sz val="10"/>
        <rFont val="WenQuanYi Zen Hei"/>
        <family val="2"/>
      </rPr>
      <t xml:space="preserve">伊朗全面自贸协定生效</t>
    </r>
  </si>
  <si>
    <r>
      <rPr>
        <sz val="10"/>
        <rFont val="Arial"/>
        <family val="0"/>
        <charset val="1"/>
      </rPr>
      <t xml:space="preserve">EAEU–</t>
    </r>
    <r>
      <rPr>
        <sz val="10"/>
        <rFont val="WenQuanYi Zen Hei"/>
        <family val="2"/>
      </rPr>
      <t xml:space="preserve">阿联酋经济伙伴协定、</t>
    </r>
    <r>
      <rPr>
        <sz val="10"/>
        <rFont val="Arial"/>
        <family val="0"/>
        <charset val="1"/>
      </rPr>
      <t xml:space="preserve">EAEU–</t>
    </r>
    <r>
      <rPr>
        <sz val="10"/>
        <rFont val="WenQuanYi Zen Hei"/>
        <family val="2"/>
      </rPr>
      <t xml:space="preserve">蒙古临时贸易协定在明斯克签署</t>
    </r>
  </si>
  <si>
    <t xml:space="preserve">S082, S083</t>
  </si>
  <si>
    <t xml:space="preserve">2025-07-01</t>
  </si>
  <si>
    <r>
      <rPr>
        <sz val="10"/>
        <rFont val="WenQuanYi Zen Hei"/>
        <family val="2"/>
      </rPr>
      <t xml:space="preserve">欧盟 </t>
    </r>
    <r>
      <rPr>
        <sz val="10"/>
        <rFont val="Arial"/>
        <family val="0"/>
        <charset val="1"/>
      </rPr>
      <t xml:space="preserve">(EU) 2025/1227 </t>
    </r>
    <r>
      <rPr>
        <sz val="10"/>
        <rFont val="WenQuanYi Zen Hei"/>
        <family val="2"/>
      </rPr>
      <t xml:space="preserve">条例生效：对白俄农产品加征 </t>
    </r>
    <r>
      <rPr>
        <sz val="10"/>
        <rFont val="Arial"/>
        <family val="0"/>
        <charset val="1"/>
      </rPr>
      <t xml:space="preserve">50%</t>
    </r>
    <r>
      <rPr>
        <sz val="10"/>
        <rFont val="WenQuanYi Zen Hei"/>
        <family val="2"/>
      </rPr>
      <t xml:space="preserve">，对化肥征收从量税</t>
    </r>
  </si>
  <si>
    <t xml:space="preserve">S112</t>
  </si>
  <si>
    <t xml:space="preserve">2025-09</t>
  </si>
  <si>
    <r>
      <rPr>
        <sz val="10"/>
        <rFont val="WenQuanYi Zen Hei"/>
        <family val="2"/>
      </rPr>
      <t xml:space="preserve">美国解除对 </t>
    </r>
    <r>
      <rPr>
        <sz val="10"/>
        <rFont val="Arial"/>
        <family val="0"/>
        <charset val="1"/>
      </rPr>
      <t xml:space="preserve">Belavia </t>
    </r>
    <r>
      <rPr>
        <sz val="10"/>
        <rFont val="WenQuanYi Zen Hei"/>
        <family val="2"/>
      </rPr>
      <t xml:space="preserve">的制裁</t>
    </r>
  </si>
  <si>
    <t xml:space="preserve">S101</t>
  </si>
  <si>
    <t xml:space="preserve">2025-09-23</t>
  </si>
  <si>
    <t xml:space="preserve">汽车</t>
  </si>
  <si>
    <r>
      <rPr>
        <sz val="10"/>
        <rFont val="Arial"/>
        <family val="0"/>
        <charset val="1"/>
      </rPr>
      <t xml:space="preserve">EEC </t>
    </r>
    <r>
      <rPr>
        <sz val="10"/>
        <rFont val="WenQuanYi Zen Hei"/>
        <family val="2"/>
      </rPr>
      <t xml:space="preserve">委员会为电动车和混动车单列编码（税率不变）</t>
    </r>
  </si>
  <si>
    <t xml:space="preserve">2025-11-02</t>
  </si>
  <si>
    <t xml:space="preserve">监管</t>
  </si>
  <si>
    <r>
      <rPr>
        <sz val="10"/>
        <rFont val="WenQuanYi Zen Hei"/>
        <family val="2"/>
      </rPr>
      <t xml:space="preserve">自 </t>
    </r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成员国寄给个人的包裹须送至监管地点检查</t>
    </r>
  </si>
  <si>
    <t xml:space="preserve">2025-11-16</t>
  </si>
  <si>
    <t xml:space="preserve">贸易救济</t>
  </si>
  <si>
    <t xml:space="preserve">对华钛白粉反倾销税生效</t>
  </si>
  <si>
    <t xml:space="preserve">S068</t>
  </si>
  <si>
    <t xml:space="preserve">2025-11</t>
  </si>
  <si>
    <r>
      <rPr>
        <sz val="10"/>
        <rFont val="WenQuanYi Zen Hei"/>
        <family val="2"/>
      </rPr>
      <t xml:space="preserve">修订普惠制条例；优惠商品原产地简化证明延长至 </t>
    </r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</rPr>
      <t xml:space="preserve">年</t>
    </r>
  </si>
  <si>
    <t xml:space="preserve">S034, S035</t>
  </si>
  <si>
    <t xml:space="preserve">2025-12</t>
  </si>
  <si>
    <t xml:space="preserve">美国宣布解除对白俄钾肥的制裁</t>
  </si>
  <si>
    <t xml:space="preserve">S100</t>
  </si>
  <si>
    <r>
      <rPr>
        <sz val="10"/>
        <rFont val="Arial"/>
        <family val="0"/>
        <charset val="1"/>
      </rPr>
      <t xml:space="preserve">EAEU–</t>
    </r>
    <r>
      <rPr>
        <sz val="10"/>
        <rFont val="WenQuanYi Zen Hei"/>
        <family val="2"/>
      </rPr>
      <t xml:space="preserve">印尼自贸协定签署</t>
    </r>
  </si>
  <si>
    <t xml:space="preserve">S062</t>
  </si>
  <si>
    <t xml:space="preserve">2026-01-01</t>
  </si>
  <si>
    <r>
      <rPr>
        <sz val="10"/>
        <rFont val="WenQuanYi Zen Hei"/>
        <family val="2"/>
      </rPr>
      <t xml:space="preserve">税收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反制</t>
    </r>
  </si>
  <si>
    <r>
      <rPr>
        <sz val="10"/>
        <rFont val="WenQuanYi Zen Hei"/>
        <family val="2"/>
      </rPr>
      <t xml:space="preserve">增值税、消费税年度调整生效；基本单位为 </t>
    </r>
    <r>
      <rPr>
        <sz val="10"/>
        <rFont val="Arial"/>
        <family val="0"/>
        <charset val="1"/>
      </rPr>
      <t xml:space="preserve">45 BYN</t>
    </r>
    <r>
      <rPr>
        <sz val="10"/>
        <rFont val="WenQuanYi Zen Hei"/>
        <family val="2"/>
      </rPr>
      <t xml:space="preserve">；“不友好国家”商品禁令新一期开始（至 </t>
    </r>
    <r>
      <rPr>
        <sz val="10"/>
        <rFont val="Arial"/>
        <family val="0"/>
        <charset val="1"/>
      </rPr>
      <t xml:space="preserve">2027-12-31</t>
    </r>
    <r>
      <rPr>
        <sz val="10"/>
        <rFont val="WenQuanYi Zen Hei"/>
        <family val="2"/>
      </rPr>
      <t xml:space="preserve">）</t>
    </r>
  </si>
  <si>
    <t xml:space="preserve">S022, S024, S025, S079</t>
  </si>
  <si>
    <t xml:space="preserve">2026-01-22</t>
  </si>
  <si>
    <r>
      <rPr>
        <sz val="10"/>
        <rFont val="Arial"/>
        <family val="0"/>
        <charset val="1"/>
      </rPr>
      <t xml:space="preserve">EAEU / </t>
    </r>
    <r>
      <rPr>
        <sz val="10"/>
        <rFont val="WenQuanYi Zen Hei"/>
        <family val="2"/>
      </rPr>
      <t xml:space="preserve">白俄</t>
    </r>
  </si>
  <si>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年电动车免关税配额（</t>
    </r>
    <r>
      <rPr>
        <sz val="10"/>
        <rFont val="Arial"/>
        <family val="0"/>
        <charset val="1"/>
      </rPr>
      <t xml:space="preserve">20,000 </t>
    </r>
    <r>
      <rPr>
        <sz val="10"/>
        <rFont val="WenQuanYi Zen Hei"/>
        <family val="2"/>
      </rPr>
      <t xml:space="preserve">辆）开始执行</t>
    </r>
  </si>
  <si>
    <t xml:space="preserve">S044</t>
  </si>
  <si>
    <t xml:space="preserve">2026-01-30</t>
  </si>
  <si>
    <r>
      <rPr>
        <sz val="10"/>
        <rFont val="WenQuanYi Zen Hei"/>
        <family val="2"/>
      </rPr>
      <t xml:space="preserve">优惠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反制</t>
    </r>
  </si>
  <si>
    <r>
      <rPr>
        <sz val="10"/>
        <rFont val="Arial"/>
        <family val="0"/>
        <charset val="1"/>
      </rPr>
      <t xml:space="preserve">EEC </t>
    </r>
    <r>
      <rPr>
        <sz val="10"/>
        <rFont val="WenQuanYi Zen Hei"/>
        <family val="2"/>
      </rPr>
      <t xml:space="preserve">理事会第 </t>
    </r>
    <r>
      <rPr>
        <sz val="10"/>
        <rFont val="Arial"/>
        <family val="0"/>
        <charset val="1"/>
      </rPr>
      <t xml:space="preserve">18 </t>
    </r>
    <r>
      <rPr>
        <sz val="10"/>
        <rFont val="WenQuanYi Zen Hei"/>
        <family val="2"/>
      </rPr>
      <t xml:space="preserve">号决定给予白俄 </t>
    </r>
    <r>
      <rPr>
        <sz val="10"/>
        <rFont val="Arial"/>
        <family val="0"/>
        <charset val="1"/>
      </rPr>
      <t xml:space="preserve">7,500 </t>
    </r>
    <r>
      <rPr>
        <sz val="10"/>
        <rFont val="WenQuanYi Zen Hei"/>
        <family val="2"/>
      </rPr>
      <t xml:space="preserve">吨牛肉免关税；部长会议第 </t>
    </r>
    <r>
      <rPr>
        <sz val="10"/>
        <rFont val="Arial"/>
        <family val="0"/>
        <charset val="1"/>
      </rPr>
      <t xml:space="preserve">54 </t>
    </r>
    <r>
      <rPr>
        <sz val="10"/>
        <rFont val="WenQuanYi Zen Hei"/>
        <family val="2"/>
      </rPr>
      <t xml:space="preserve">号决议延长酒类标识禁令</t>
    </r>
  </si>
  <si>
    <t xml:space="preserve">S046, S051</t>
  </si>
  <si>
    <t xml:space="preserve">2026-02-11</t>
  </si>
  <si>
    <t xml:space="preserve">导航封条强制使用</t>
  </si>
  <si>
    <t xml:space="preserve">2026-03</t>
  </si>
  <si>
    <t xml:space="preserve">美国将白俄钾肥企业、两家银行和财政部移出制裁名单</t>
  </si>
  <si>
    <t xml:space="preserve">S099</t>
  </si>
  <si>
    <t xml:space="preserve">2026-03-30</t>
  </si>
  <si>
    <r>
      <rPr>
        <sz val="10"/>
        <rFont val="WenQuanYi Zen Hei"/>
        <family val="2"/>
      </rPr>
      <t xml:space="preserve">部长会议第 </t>
    </r>
    <r>
      <rPr>
        <sz val="10"/>
        <rFont val="Arial"/>
        <family val="0"/>
        <charset val="1"/>
      </rPr>
      <t xml:space="preserve">145 </t>
    </r>
    <r>
      <rPr>
        <sz val="10"/>
        <rFont val="WenQuanYi Zen Hei"/>
        <family val="2"/>
      </rPr>
      <t xml:space="preserve">号决议：立陶宛边境口岸进口禁令延至 </t>
    </r>
    <r>
      <rPr>
        <sz val="10"/>
        <rFont val="Arial"/>
        <family val="0"/>
        <charset val="1"/>
      </rPr>
      <t xml:space="preserve">2027-12-31</t>
    </r>
  </si>
  <si>
    <t xml:space="preserve">S049</t>
  </si>
  <si>
    <t xml:space="preserve">2026-04-13</t>
  </si>
  <si>
    <t xml:space="preserve">出口</t>
  </si>
  <si>
    <r>
      <rPr>
        <sz val="10"/>
        <rFont val="WenQuanYi Zen Hei"/>
        <family val="2"/>
      </rPr>
      <t xml:space="preserve">部长会议第 </t>
    </r>
    <r>
      <rPr>
        <sz val="10"/>
        <rFont val="Arial"/>
        <family val="0"/>
        <charset val="1"/>
      </rPr>
      <t xml:space="preserve">184 </t>
    </r>
    <r>
      <rPr>
        <sz val="10"/>
        <rFont val="WenQuanYi Zen Hei"/>
        <family val="2"/>
      </rPr>
      <t xml:space="preserve">号决议上调部分油品出口关税</t>
    </r>
  </si>
  <si>
    <t xml:space="preserve">2026-04-29</t>
  </si>
  <si>
    <r>
      <rPr>
        <sz val="10"/>
        <rFont val="WenQuanYi Zen Hei"/>
        <family val="2"/>
      </rPr>
      <t xml:space="preserve">报废税上调（部长会议 </t>
    </r>
    <r>
      <rPr>
        <sz val="10"/>
        <rFont val="Arial"/>
        <family val="0"/>
        <charset val="1"/>
      </rPr>
      <t xml:space="preserve">2026-04-23 </t>
    </r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195 </t>
    </r>
    <r>
      <rPr>
        <sz val="10"/>
        <rFont val="WenQuanYi Zen Hei"/>
        <family val="2"/>
      </rPr>
      <t xml:space="preserve">号决议）</t>
    </r>
  </si>
  <si>
    <t xml:space="preserve">2026-05-01</t>
  </si>
  <si>
    <r>
      <rPr>
        <sz val="10"/>
        <rFont val="WenQuanYi Zen Hei"/>
        <family val="2"/>
      </rPr>
      <t xml:space="preserve">出口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监管</t>
    </r>
  </si>
  <si>
    <r>
      <rPr>
        <sz val="10"/>
        <rFont val="WenQuanYi Zen Hei"/>
        <family val="2"/>
      </rPr>
      <t xml:space="preserve">液化石油气出口关税升至 </t>
    </r>
    <r>
      <rPr>
        <sz val="10"/>
        <rFont val="Arial"/>
        <family val="0"/>
        <charset val="1"/>
      </rPr>
      <t xml:space="preserve">131.6 </t>
    </r>
    <r>
      <rPr>
        <sz val="10"/>
        <rFont val="WenQuanYi Zen Hei"/>
        <family val="2"/>
      </rPr>
      <t xml:space="preserve">美元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吨；软饮料和果汁须加贴标识</t>
    </r>
  </si>
  <si>
    <t xml:space="preserve">S047, S057</t>
  </si>
  <si>
    <t xml:space="preserve">2026-06-01</t>
  </si>
  <si>
    <r>
      <rPr>
        <sz val="10"/>
        <rFont val="WenQuanYi Zen Hei"/>
        <family val="2"/>
      </rPr>
      <t xml:space="preserve">液化石油气出口关税降至 </t>
    </r>
    <r>
      <rPr>
        <sz val="10"/>
        <rFont val="Arial"/>
        <family val="0"/>
        <charset val="1"/>
      </rPr>
      <t xml:space="preserve">130.2 </t>
    </r>
    <r>
      <rPr>
        <sz val="10"/>
        <rFont val="WenQuanYi Zen Hei"/>
        <family val="2"/>
      </rPr>
      <t xml:space="preserve">美元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吨</t>
    </r>
  </si>
  <si>
    <t xml:space="preserve">2026-07-22</t>
  </si>
  <si>
    <r>
      <rPr>
        <sz val="10"/>
        <rFont val="Arial"/>
        <family val="0"/>
        <charset val="1"/>
      </rPr>
      <t xml:space="preserve">EAEU–</t>
    </r>
    <r>
      <rPr>
        <sz val="10"/>
        <rFont val="WenQuanYi Zen Hei"/>
        <family val="2"/>
      </rPr>
      <t xml:space="preserve">蒙古临时贸易协定生效</t>
    </r>
  </si>
  <si>
    <t xml:space="preserve">2026-08</t>
  </si>
  <si>
    <r>
      <rPr>
        <sz val="10"/>
        <rFont val="WenQuanYi Zen Hei"/>
        <family val="2"/>
      </rPr>
      <t xml:space="preserve">白俄 </t>
    </r>
    <r>
      <rPr>
        <sz val="10"/>
        <rFont val="Arial"/>
        <family val="0"/>
        <charset val="1"/>
      </rPr>
      <t xml:space="preserve">/ EAEU</t>
    </r>
  </si>
  <si>
    <r>
      <rPr>
        <sz val="10"/>
        <rFont val="WenQuanYi Zen Hei"/>
        <family val="2"/>
      </rPr>
      <t xml:space="preserve">出口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电商</t>
    </r>
  </si>
  <si>
    <r>
      <rPr>
        <sz val="10"/>
        <rFont val="WenQuanYi Zen Hei"/>
        <family val="2"/>
      </rPr>
      <t xml:space="preserve">液化烃气出口关税设为零；</t>
    </r>
    <r>
      <rPr>
        <sz val="10"/>
        <rFont val="Arial"/>
        <family val="0"/>
        <charset val="1"/>
      </rPr>
      <t xml:space="preserve">EAEU </t>
    </r>
    <r>
      <rPr>
        <sz val="10"/>
        <rFont val="WenQuanYi Zen Hei"/>
        <family val="2"/>
      </rPr>
      <t xml:space="preserve">政府首脑要求跨境电商新规于 </t>
    </r>
    <r>
      <rPr>
        <sz val="10"/>
        <rFont val="Arial"/>
        <family val="0"/>
        <charset val="1"/>
      </rPr>
      <t xml:space="preserve">2027-01-01 </t>
    </r>
    <r>
      <rPr>
        <sz val="10"/>
        <rFont val="WenQuanYi Zen Hei"/>
        <family val="2"/>
      </rPr>
      <t xml:space="preserve">起落实</t>
    </r>
  </si>
  <si>
    <t xml:space="preserve">S078, S038</t>
  </si>
  <si>
    <t xml:space="preserve">2026-09</t>
  </si>
  <si>
    <t xml:space="preserve">个人电动车免关税配额用完（法人配额此前已用完）</t>
  </si>
  <si>
    <t xml:space="preserve">2026-09-23</t>
  </si>
  <si>
    <r>
      <rPr>
        <sz val="10"/>
        <rFont val="WenQuanYi Zen Hei"/>
        <family val="2"/>
      </rPr>
      <t xml:space="preserve">新一轮工业品临时出口禁令开始（</t>
    </r>
    <r>
      <rPr>
        <sz val="10"/>
        <rFont val="Arial"/>
        <family val="0"/>
        <charset val="1"/>
      </rPr>
      <t xml:space="preserve">6 </t>
    </r>
    <r>
      <rPr>
        <sz val="10"/>
        <rFont val="WenQuanYi Zen Hei"/>
        <family val="2"/>
      </rPr>
      <t xml:space="preserve">个月）</t>
    </r>
  </si>
  <si>
    <t xml:space="preserve">S053</t>
  </si>
  <si>
    <t xml:space="preserve">2026-10-06</t>
  </si>
  <si>
    <r>
      <rPr>
        <i val="true"/>
        <sz val="10"/>
        <color rgb="FF7F7F7F"/>
        <rFont val="WenQuanYi Zen Hei"/>
        <family val="2"/>
      </rPr>
      <t xml:space="preserve">【预计】</t>
    </r>
    <r>
      <rPr>
        <i val="true"/>
        <sz val="10"/>
        <color rgb="FF7F7F7F"/>
        <rFont val="Arial"/>
        <family val="0"/>
        <charset val="1"/>
      </rPr>
      <t xml:space="preserve">EAEU–</t>
    </r>
    <r>
      <rPr>
        <i val="true"/>
        <sz val="10"/>
        <color rgb="FF7F7F7F"/>
        <rFont val="WenQuanYi Zen Hei"/>
        <family val="2"/>
      </rPr>
      <t xml:space="preserve">阿联酋经济伙伴协定生效</t>
    </r>
  </si>
  <si>
    <r>
      <rPr>
        <i val="true"/>
        <sz val="10"/>
        <color rgb="FF7F7F7F"/>
        <rFont val="Arial"/>
        <family val="0"/>
        <charset val="1"/>
      </rPr>
      <t xml:space="preserve">2026 </t>
    </r>
    <r>
      <rPr>
        <i val="true"/>
        <sz val="10"/>
        <color rgb="FF7F7F7F"/>
        <rFont val="WenQuanYi Zen Hei"/>
        <family val="2"/>
      </rPr>
      <t xml:space="preserve">年底前</t>
    </r>
  </si>
  <si>
    <r>
      <rPr>
        <i val="true"/>
        <sz val="10"/>
        <color rgb="FF7F7F7F"/>
        <rFont val="WenQuanYi Zen Hei"/>
        <family val="2"/>
      </rPr>
      <t xml:space="preserve">【预计】</t>
    </r>
    <r>
      <rPr>
        <i val="true"/>
        <sz val="10"/>
        <color rgb="FF7F7F7F"/>
        <rFont val="Arial"/>
        <family val="0"/>
        <charset val="1"/>
      </rPr>
      <t xml:space="preserve">EAEU–</t>
    </r>
    <r>
      <rPr>
        <i val="true"/>
        <sz val="10"/>
        <color rgb="FF7F7F7F"/>
        <rFont val="WenQuanYi Zen Hei"/>
        <family val="2"/>
      </rPr>
      <t xml:space="preserve">印尼自贸协定生效</t>
    </r>
  </si>
  <si>
    <t xml:space="preserve">S085</t>
  </si>
  <si>
    <t xml:space="preserve">2027-01-01</t>
  </si>
  <si>
    <t xml:space="preserve">电商</t>
  </si>
  <si>
    <t xml:space="preserve">【预计】跨境电商新规实施</t>
  </si>
  <si>
    <t xml:space="preserve">S038</t>
  </si>
  <si>
    <t xml:space="preserve">2027-12-31</t>
  </si>
  <si>
    <t xml:space="preserve">【到期】“不友好国家”商品禁令、立陶宛口岸禁令、酒类标识禁令（除非再次延长）</t>
  </si>
  <si>
    <t xml:space="preserve">S079, S049, S051</t>
  </si>
  <si>
    <t xml:space="preserve">2028-12-31</t>
  </si>
  <si>
    <t xml:space="preserve">【到期】个人进口电动车免增值税</t>
  </si>
  <si>
    <t xml:space="preserve">进口环节税费测算器</t>
  </si>
  <si>
    <r>
      <rPr>
        <i val="true"/>
        <sz val="9"/>
        <color rgb="FF595959"/>
        <rFont val="WenQuanYi Zen Hei"/>
        <family val="2"/>
      </rPr>
      <t xml:space="preserve">蓝色字体为输入项（可修改），黄色底为必须按实际填写的关键假设，黑色为公式。示例：中国产彩色电视机（</t>
    </r>
    <r>
      <rPr>
        <i val="true"/>
        <sz val="9"/>
        <color rgb="FF595959"/>
        <rFont val="Arial"/>
        <family val="0"/>
        <charset val="1"/>
      </rPr>
      <t xml:space="preserve">8528 72 100 0</t>
    </r>
    <r>
      <rPr>
        <i val="true"/>
        <sz val="9"/>
        <color rgb="FF595959"/>
        <rFont val="WenQuanYi Zen Hei"/>
        <family val="2"/>
      </rPr>
      <t xml:space="preserve">，</t>
    </r>
    <r>
      <rPr>
        <i val="true"/>
        <sz val="9"/>
        <color rgb="FF595959"/>
        <rFont val="Arial"/>
        <family val="0"/>
        <charset val="1"/>
      </rPr>
      <t xml:space="preserve">ЕТТ 10%</t>
    </r>
    <r>
      <rPr>
        <i val="true"/>
        <sz val="9"/>
        <color rgb="FF595959"/>
        <rFont val="WenQuanYi Zen Hei"/>
        <family val="2"/>
      </rPr>
      <t xml:space="preserve">）。结果仅供估算，实际以海关核定为准</t>
    </r>
  </si>
  <si>
    <t xml:space="preserve">一、输入</t>
  </si>
  <si>
    <t xml:space="preserve">原产地待遇</t>
  </si>
  <si>
    <t xml:space="preserve">关税系数</t>
  </si>
  <si>
    <t xml:space="preserve">商品描述</t>
  </si>
  <si>
    <r>
      <rPr>
        <sz val="10"/>
        <color rgb="FF0000FF"/>
        <rFont val="WenQuanYi Zen Hei"/>
        <family val="2"/>
      </rPr>
      <t xml:space="preserve">彩色电视机（</t>
    </r>
    <r>
      <rPr>
        <sz val="10"/>
        <color rgb="FF0000FF"/>
        <rFont val="Arial"/>
        <family val="0"/>
        <charset val="1"/>
      </rPr>
      <t xml:space="preserve">HS 8528 72 100 0</t>
    </r>
    <r>
      <rPr>
        <sz val="10"/>
        <color rgb="FF0000FF"/>
        <rFont val="WenQuanYi Zen Hei"/>
        <family val="2"/>
      </rPr>
      <t xml:space="preserve">）</t>
    </r>
  </si>
  <si>
    <t xml:space="preserve">输入</t>
  </si>
  <si>
    <r>
      <rPr>
        <sz val="10"/>
        <rFont val="WenQuanYi Zen Hei"/>
        <family val="2"/>
      </rPr>
      <t xml:space="preserve">一般税率</t>
    </r>
    <r>
      <rPr>
        <sz val="10"/>
        <rFont val="Arial"/>
        <family val="0"/>
        <charset val="1"/>
      </rPr>
      <t xml:space="preserve">(MFN)</t>
    </r>
  </si>
  <si>
    <r>
      <rPr>
        <i val="true"/>
        <sz val="9"/>
        <color rgb="FF595959"/>
        <rFont val="WenQuanYi Zen Hei"/>
        <family val="2"/>
      </rPr>
      <t xml:space="preserve">中国原产商品适用一般税率（</t>
    </r>
    <r>
      <rPr>
        <i val="true"/>
        <sz val="9"/>
        <color rgb="FF595959"/>
        <rFont val="Arial"/>
        <family val="0"/>
        <charset val="1"/>
      </rPr>
      <t xml:space="preserve">MFN</t>
    </r>
    <r>
      <rPr>
        <i val="true"/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</si>
  <si>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发展中国家普惠制</t>
    </r>
    <r>
      <rPr>
        <sz val="10"/>
        <rFont val="Arial"/>
        <family val="0"/>
        <charset val="1"/>
      </rPr>
      <t xml:space="preserve">(75%)</t>
    </r>
  </si>
  <si>
    <r>
      <rPr>
        <sz val="10"/>
        <rFont val="WenQuanYi Zen Hei"/>
        <family val="2"/>
      </rPr>
      <t xml:space="preserve">发票金额（</t>
    </r>
    <r>
      <rPr>
        <sz val="10"/>
        <rFont val="Arial"/>
        <family val="0"/>
        <charset val="1"/>
      </rPr>
      <t xml:space="preserve">USD</t>
    </r>
    <r>
      <rPr>
        <sz val="10"/>
        <rFont val="WenQuanYi Zen Hei"/>
        <family val="2"/>
      </rPr>
      <t xml:space="preserve">）</t>
    </r>
  </si>
  <si>
    <t xml:space="preserve">成交价格</t>
  </si>
  <si>
    <r>
      <rPr>
        <sz val="10"/>
        <rFont val="WenQuanYi Zen Hei"/>
        <family val="2"/>
      </rPr>
      <t xml:space="preserve">最不发达国家</t>
    </r>
    <r>
      <rPr>
        <sz val="10"/>
        <rFont val="Arial"/>
        <family val="0"/>
        <charset val="1"/>
      </rPr>
      <t xml:space="preserve">(0%)</t>
    </r>
  </si>
  <si>
    <r>
      <rPr>
        <sz val="10"/>
        <rFont val="WenQuanYi Zen Hei"/>
        <family val="2"/>
      </rPr>
      <t xml:space="preserve">运至联盟关境的运费（</t>
    </r>
    <r>
      <rPr>
        <sz val="10"/>
        <rFont val="Arial"/>
        <family val="0"/>
        <charset val="1"/>
      </rPr>
      <t xml:space="preserve">USD</t>
    </r>
    <r>
      <rPr>
        <sz val="10"/>
        <rFont val="WenQuanYi Zen Hei"/>
        <family val="2"/>
      </rPr>
      <t xml:space="preserve">）</t>
    </r>
  </si>
  <si>
    <r>
      <rPr>
        <i val="true"/>
        <sz val="9"/>
        <color rgb="FF595959"/>
        <rFont val="Arial"/>
        <family val="0"/>
        <charset val="1"/>
      </rPr>
      <t xml:space="preserve">EAEU </t>
    </r>
    <r>
      <rPr>
        <i val="true"/>
        <sz val="9"/>
        <color rgb="FF595959"/>
        <rFont val="WenQuanYi Zen Hei"/>
        <family val="2"/>
      </rPr>
      <t xml:space="preserve">规则：运至联盟关境入境地点的运费计入完税价格</t>
    </r>
  </si>
  <si>
    <t xml:space="preserve">自贸协定零关税</t>
  </si>
  <si>
    <r>
      <rPr>
        <sz val="10"/>
        <rFont val="WenQuanYi Zen Hei"/>
        <family val="2"/>
      </rPr>
      <t xml:space="preserve">保险费（</t>
    </r>
    <r>
      <rPr>
        <sz val="10"/>
        <rFont val="Arial"/>
        <family val="0"/>
        <charset val="1"/>
      </rPr>
      <t xml:space="preserve">USD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</si>
  <si>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EAEU</t>
    </r>
    <r>
      <rPr>
        <sz val="10"/>
        <rFont val="WenQuanYi Zen Hei"/>
        <family val="2"/>
      </rPr>
      <t xml:space="preserve">成员国原产</t>
    </r>
  </si>
  <si>
    <r>
      <rPr>
        <sz val="10"/>
        <rFont val="WenQuanYi Zen Hei"/>
        <family val="2"/>
      </rPr>
      <t xml:space="preserve">其他计入完税价格的费用（</t>
    </r>
    <r>
      <rPr>
        <sz val="10"/>
        <rFont val="Arial"/>
        <family val="0"/>
        <charset val="1"/>
      </rPr>
      <t xml:space="preserve">USD</t>
    </r>
    <r>
      <rPr>
        <sz val="10"/>
        <rFont val="WenQuanYi Zen Hei"/>
        <family val="2"/>
      </rPr>
      <t xml:space="preserve">）</t>
    </r>
  </si>
  <si>
    <t xml:space="preserve">如佣金、特许权使用费等</t>
  </si>
  <si>
    <r>
      <rPr>
        <sz val="10"/>
        <rFont val="WenQuanYi Zen Hei"/>
        <family val="2"/>
      </rPr>
      <t xml:space="preserve">汇率 </t>
    </r>
    <r>
      <rPr>
        <sz val="10"/>
        <rFont val="Arial"/>
        <family val="0"/>
        <charset val="1"/>
      </rPr>
      <t xml:space="preserve">BYN/USD</t>
    </r>
  </si>
  <si>
    <t xml:space="preserve">【示例值，非实时汇率】请按报关当日白俄国家银行官方汇率填写</t>
  </si>
  <si>
    <r>
      <rPr>
        <sz val="10"/>
        <rFont val="WenQuanYi Zen Hei"/>
        <family val="2"/>
      </rPr>
      <t xml:space="preserve">汇率 </t>
    </r>
    <r>
      <rPr>
        <sz val="10"/>
        <rFont val="Arial"/>
        <family val="0"/>
        <charset val="1"/>
      </rPr>
      <t xml:space="preserve">BYN/EUR</t>
    </r>
  </si>
  <si>
    <t xml:space="preserve">【示例值，非实时汇率】从量税以欧元计时使用</t>
  </si>
  <si>
    <r>
      <rPr>
        <i val="true"/>
        <sz val="9"/>
        <color rgb="FF595959"/>
        <rFont val="WenQuanYi Zen Hei"/>
        <family val="2"/>
      </rPr>
      <t xml:space="preserve">从价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WenQuanYi Zen Hei"/>
        <family val="2"/>
      </rPr>
      <t xml:space="preserve">从量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WenQuanYi Zen Hei"/>
        <family val="2"/>
      </rPr>
      <t xml:space="preserve">复合</t>
    </r>
    <r>
      <rPr>
        <i val="true"/>
        <sz val="9"/>
        <color rgb="FF595959"/>
        <rFont val="Arial"/>
        <family val="0"/>
        <charset val="1"/>
      </rPr>
      <t xml:space="preserve">-</t>
    </r>
    <r>
      <rPr>
        <i val="true"/>
        <sz val="9"/>
        <color rgb="FF595959"/>
        <rFont val="WenQuanYi Zen Hei"/>
        <family val="2"/>
      </rPr>
      <t xml:space="preserve">取高者（“但不低于”）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WenQuanYi Zen Hei"/>
        <family val="2"/>
      </rPr>
      <t xml:space="preserve">复合</t>
    </r>
    <r>
      <rPr>
        <i val="true"/>
        <sz val="9"/>
        <color rgb="FF595959"/>
        <rFont val="Arial"/>
        <family val="0"/>
        <charset val="1"/>
      </rPr>
      <t xml:space="preserve">-</t>
    </r>
    <r>
      <rPr>
        <i val="true"/>
        <sz val="9"/>
        <color rgb="FF595959"/>
        <rFont val="WenQuanYi Zen Hei"/>
        <family val="2"/>
      </rPr>
      <t xml:space="preserve">相加（“</t>
    </r>
    <r>
      <rPr>
        <i val="true"/>
        <sz val="9"/>
        <color rgb="FF595959"/>
        <rFont val="Arial"/>
        <family val="0"/>
        <charset val="1"/>
      </rPr>
      <t xml:space="preserve">+”</t>
    </r>
    <r>
      <rPr>
        <i val="true"/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</si>
  <si>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ЕТТ </t>
    </r>
    <r>
      <rPr>
        <sz val="10"/>
        <rFont val="WenQuanYi Zen Hei"/>
        <family val="2"/>
      </rPr>
      <t xml:space="preserve">从价税率</t>
    </r>
  </si>
  <si>
    <r>
      <rPr>
        <i val="true"/>
        <sz val="9"/>
        <color rgb="FF595959"/>
        <rFont val="WenQuanYi Zen Hei"/>
        <family val="2"/>
      </rPr>
      <t xml:space="preserve">见“商品税率样例”或 </t>
    </r>
    <r>
      <rPr>
        <i val="true"/>
        <sz val="9"/>
        <color rgb="FF595959"/>
        <rFont val="Arial"/>
        <family val="0"/>
        <charset val="1"/>
      </rPr>
      <t xml:space="preserve">ГТК </t>
    </r>
    <r>
      <rPr>
        <i val="true"/>
        <sz val="9"/>
        <color rgb="FF595959"/>
        <rFont val="WenQuanYi Zen Hei"/>
        <family val="2"/>
      </rPr>
      <t xml:space="preserve">税则</t>
    </r>
  </si>
  <si>
    <r>
      <rPr>
        <sz val="10"/>
        <rFont val="WenQuanYi Zen Hei"/>
        <family val="2"/>
      </rPr>
      <t xml:space="preserve">复合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取高者</t>
    </r>
  </si>
  <si>
    <r>
      <rPr>
        <sz val="10"/>
        <rFont val="Arial"/>
        <family val="0"/>
        <charset val="1"/>
      </rPr>
      <t xml:space="preserve">ЕТТ </t>
    </r>
    <r>
      <rPr>
        <sz val="10"/>
        <rFont val="WenQuanYi Zen Hei"/>
        <family val="2"/>
      </rPr>
      <t xml:space="preserve">从量税额（</t>
    </r>
    <r>
      <rPr>
        <sz val="10"/>
        <rFont val="Arial"/>
        <family val="0"/>
        <charset val="1"/>
      </rPr>
      <t xml:space="preserve">EUR / </t>
    </r>
    <r>
      <rPr>
        <sz val="10"/>
        <rFont val="WenQuanYi Zen Hei"/>
        <family val="2"/>
      </rPr>
      <t xml:space="preserve">计量单位）</t>
    </r>
  </si>
  <si>
    <r>
      <rPr>
        <i val="true"/>
        <sz val="9"/>
        <color rgb="FF595959"/>
        <rFont val="WenQuanYi Zen Hei"/>
        <family val="2"/>
      </rPr>
      <t xml:space="preserve">如 </t>
    </r>
    <r>
      <rPr>
        <i val="true"/>
        <sz val="9"/>
        <color rgb="FF595959"/>
        <rFont val="Arial"/>
        <family val="0"/>
        <charset val="1"/>
      </rPr>
      <t xml:space="preserve">0.5 </t>
    </r>
    <r>
      <rPr>
        <i val="true"/>
        <sz val="9"/>
        <color rgb="FF595959"/>
        <rFont val="WenQuanYi Zen Hei"/>
        <family val="2"/>
      </rPr>
      <t xml:space="preserve">欧元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WenQuanYi Zen Hei"/>
        <family val="2"/>
      </rPr>
      <t xml:space="preserve">公斤；纯从价商品填 </t>
    </r>
    <r>
      <rPr>
        <i val="true"/>
        <sz val="9"/>
        <color rgb="FF595959"/>
        <rFont val="Arial"/>
        <family val="0"/>
        <charset val="1"/>
      </rPr>
      <t xml:space="preserve">0</t>
    </r>
  </si>
  <si>
    <r>
      <rPr>
        <sz val="10"/>
        <rFont val="WenQuanYi Zen Hei"/>
        <family val="2"/>
      </rPr>
      <t xml:space="preserve">复合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相加</t>
    </r>
  </si>
  <si>
    <t xml:space="preserve">数量（按从量税计量单位）</t>
  </si>
  <si>
    <t xml:space="preserve">公斤、双、升等</t>
  </si>
  <si>
    <r>
      <rPr>
        <sz val="10"/>
        <color rgb="FF0000FF"/>
        <rFont val="WenQuanYi Zen Hei"/>
        <family val="2"/>
      </rPr>
      <t xml:space="preserve">一般税率</t>
    </r>
    <r>
      <rPr>
        <sz val="10"/>
        <color rgb="FF0000FF"/>
        <rFont val="Arial"/>
        <family val="0"/>
        <charset val="1"/>
      </rPr>
      <t xml:space="preserve">(MFN)</t>
    </r>
  </si>
  <si>
    <t xml:space="preserve">下拉选择；系数见右侧对照表</t>
  </si>
  <si>
    <t xml:space="preserve">增值税税率</t>
  </si>
  <si>
    <r>
      <rPr>
        <sz val="10"/>
        <rFont val="WenQuanYi Zen Hei"/>
        <family val="2"/>
      </rPr>
      <t xml:space="preserve">反倾销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特别关税税率</t>
    </r>
  </si>
  <si>
    <t xml:space="preserve">见“贸易救济措施”；计入增值税税基</t>
  </si>
  <si>
    <r>
      <rPr>
        <sz val="10"/>
        <rFont val="WenQuanYi Zen Hei"/>
        <family val="2"/>
      </rPr>
      <t xml:space="preserve">消费税合计（</t>
    </r>
    <r>
      <rPr>
        <sz val="10"/>
        <rFont val="Arial"/>
        <family val="0"/>
        <charset val="1"/>
      </rPr>
      <t xml:space="preserve">BYN</t>
    </r>
    <r>
      <rPr>
        <sz val="10"/>
        <rFont val="WenQuanYi Zen Hei"/>
        <family val="2"/>
      </rPr>
      <t xml:space="preserve">）</t>
    </r>
  </si>
  <si>
    <r>
      <rPr>
        <i val="true"/>
        <sz val="9"/>
        <color rgb="FF595959"/>
        <rFont val="WenQuanYi Zen Hei"/>
        <family val="2"/>
      </rPr>
      <t xml:space="preserve">仅应税消费品；按《税法典》附件 </t>
    </r>
    <r>
      <rPr>
        <i val="true"/>
        <sz val="9"/>
        <color rgb="FF595959"/>
        <rFont val="Arial"/>
        <family val="0"/>
        <charset val="1"/>
      </rPr>
      <t xml:space="preserve">1 </t>
    </r>
    <r>
      <rPr>
        <i val="true"/>
        <sz val="9"/>
        <color rgb="FF595959"/>
        <rFont val="WenQuanYi Zen Hei"/>
        <family val="2"/>
      </rPr>
      <t xml:space="preserve">税额 </t>
    </r>
    <r>
      <rPr>
        <i val="true"/>
        <sz val="9"/>
        <color rgb="FF595959"/>
        <rFont val="Arial"/>
        <family val="0"/>
        <charset val="1"/>
      </rPr>
      <t xml:space="preserve">× </t>
    </r>
    <r>
      <rPr>
        <i val="true"/>
        <sz val="9"/>
        <color rgb="FF595959"/>
        <rFont val="WenQuanYi Zen Hei"/>
        <family val="2"/>
      </rPr>
      <t xml:space="preserve">数量</t>
    </r>
  </si>
  <si>
    <t xml:space="preserve">20% / 10% / 0%</t>
  </si>
  <si>
    <r>
      <rPr>
        <sz val="10"/>
        <rFont val="WenQuanYi Zen Hei"/>
        <family val="2"/>
      </rPr>
      <t xml:space="preserve">海关手续费（</t>
    </r>
    <r>
      <rPr>
        <sz val="10"/>
        <rFont val="Arial"/>
        <family val="0"/>
        <charset val="1"/>
      </rPr>
      <t xml:space="preserve">BYN</t>
    </r>
    <r>
      <rPr>
        <sz val="10"/>
        <rFont val="WenQuanYi Zen Hei"/>
        <family val="2"/>
      </rPr>
      <t xml:space="preserve">）</t>
    </r>
  </si>
  <si>
    <r>
      <rPr>
        <i val="true"/>
        <sz val="9"/>
        <color rgb="FF595959"/>
        <rFont val="WenQuanYi Zen Hei"/>
        <family val="2"/>
      </rPr>
      <t xml:space="preserve">依总统令第 </t>
    </r>
    <r>
      <rPr>
        <i val="true"/>
        <sz val="9"/>
        <color rgb="FF595959"/>
        <rFont val="Arial"/>
        <family val="0"/>
        <charset val="1"/>
      </rPr>
      <t xml:space="preserve">443 </t>
    </r>
    <r>
      <rPr>
        <i val="true"/>
        <sz val="9"/>
        <color rgb="FF595959"/>
        <rFont val="WenQuanYi Zen Hei"/>
        <family val="2"/>
      </rPr>
      <t xml:space="preserve">号，视报关业务而定</t>
    </r>
  </si>
  <si>
    <r>
      <rPr>
        <sz val="10"/>
        <rFont val="WenQuanYi Zen Hei"/>
        <family val="2"/>
      </rPr>
      <t xml:space="preserve">报废税（</t>
    </r>
    <r>
      <rPr>
        <sz val="10"/>
        <rFont val="Arial"/>
        <family val="0"/>
        <charset val="1"/>
      </rPr>
      <t xml:space="preserve">BYN</t>
    </r>
    <r>
      <rPr>
        <sz val="10"/>
        <rFont val="WenQuanYi Zen Hei"/>
        <family val="2"/>
      </rPr>
      <t xml:space="preserve">，仅车辆和机械）</t>
    </r>
  </si>
  <si>
    <t xml:space="preserve">见“汽车进口专题”</t>
  </si>
  <si>
    <t xml:space="preserve">注：自贸协定是否零关税取决于协定减让表</t>
  </si>
  <si>
    <t xml:space="preserve">二、计算（公式）</t>
  </si>
  <si>
    <r>
      <rPr>
        <sz val="10"/>
        <rFont val="WenQuanYi Zen Hei"/>
        <family val="2"/>
      </rPr>
      <t xml:space="preserve">完税价格（</t>
    </r>
    <r>
      <rPr>
        <sz val="10"/>
        <rFont val="Arial"/>
        <family val="0"/>
        <charset val="1"/>
      </rPr>
      <t xml:space="preserve">USD</t>
    </r>
    <r>
      <rPr>
        <sz val="10"/>
        <rFont val="WenQuanYi Zen Hei"/>
        <family val="2"/>
      </rPr>
      <t xml:space="preserve">）</t>
    </r>
  </si>
  <si>
    <r>
      <rPr>
        <i val="true"/>
        <sz val="9"/>
        <color rgb="FF595959"/>
        <rFont val="WenQuanYi Zen Hei"/>
        <family val="2"/>
      </rPr>
      <t xml:space="preserve">发票 </t>
    </r>
    <r>
      <rPr>
        <i val="true"/>
        <sz val="9"/>
        <color rgb="FF595959"/>
        <rFont val="Arial"/>
        <family val="0"/>
        <charset val="1"/>
      </rPr>
      <t xml:space="preserve">+ </t>
    </r>
    <r>
      <rPr>
        <i val="true"/>
        <sz val="9"/>
        <color rgb="FF595959"/>
        <rFont val="WenQuanYi Zen Hei"/>
        <family val="2"/>
      </rPr>
      <t xml:space="preserve">运费 </t>
    </r>
    <r>
      <rPr>
        <i val="true"/>
        <sz val="9"/>
        <color rgb="FF595959"/>
        <rFont val="Arial"/>
        <family val="0"/>
        <charset val="1"/>
      </rPr>
      <t xml:space="preserve">+ </t>
    </r>
    <r>
      <rPr>
        <i val="true"/>
        <sz val="9"/>
        <color rgb="FF595959"/>
        <rFont val="WenQuanYi Zen Hei"/>
        <family val="2"/>
      </rPr>
      <t xml:space="preserve">保险 </t>
    </r>
    <r>
      <rPr>
        <i val="true"/>
        <sz val="9"/>
        <color rgb="FF595959"/>
        <rFont val="Arial"/>
        <family val="0"/>
        <charset val="1"/>
      </rPr>
      <t xml:space="preserve">+ </t>
    </r>
    <r>
      <rPr>
        <i val="true"/>
        <sz val="9"/>
        <color rgb="FF595959"/>
        <rFont val="WenQuanYi Zen Hei"/>
        <family val="2"/>
      </rPr>
      <t xml:space="preserve">其他</t>
    </r>
  </si>
  <si>
    <r>
      <rPr>
        <sz val="10"/>
        <rFont val="WenQuanYi Zen Hei"/>
        <family val="2"/>
      </rPr>
      <t xml:space="preserve">完税价格（</t>
    </r>
    <r>
      <rPr>
        <sz val="10"/>
        <rFont val="Arial"/>
        <family val="0"/>
        <charset val="1"/>
      </rPr>
      <t xml:space="preserve">BYN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</si>
  <si>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从价部分关税（</t>
    </r>
    <r>
      <rPr>
        <sz val="10"/>
        <rFont val="Arial"/>
        <family val="0"/>
        <charset val="1"/>
      </rPr>
      <t xml:space="preserve">BYN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</si>
  <si>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从量部分关税（</t>
    </r>
    <r>
      <rPr>
        <sz val="10"/>
        <rFont val="Arial"/>
        <family val="0"/>
        <charset val="1"/>
      </rPr>
      <t xml:space="preserve">BYN</t>
    </r>
    <r>
      <rPr>
        <sz val="10"/>
        <rFont val="WenQuanYi Zen Hei"/>
        <family val="2"/>
      </rPr>
      <t xml:space="preserve">）</t>
    </r>
  </si>
  <si>
    <r>
      <rPr>
        <i val="true"/>
        <sz val="9"/>
        <color rgb="FF595959"/>
        <rFont val="WenQuanYi Zen Hei"/>
        <family val="2"/>
      </rPr>
      <t xml:space="preserve">欧元税额 </t>
    </r>
    <r>
      <rPr>
        <i val="true"/>
        <sz val="9"/>
        <color rgb="FF595959"/>
        <rFont val="Arial"/>
        <family val="0"/>
        <charset val="1"/>
      </rPr>
      <t xml:space="preserve">× </t>
    </r>
    <r>
      <rPr>
        <i val="true"/>
        <sz val="9"/>
        <color rgb="FF595959"/>
        <rFont val="WenQuanYi Zen Hei"/>
        <family val="2"/>
      </rPr>
      <t xml:space="preserve">数量 </t>
    </r>
    <r>
      <rPr>
        <i val="true"/>
        <sz val="9"/>
        <color rgb="FF595959"/>
        <rFont val="Arial"/>
        <family val="0"/>
        <charset val="1"/>
      </rPr>
      <t xml:space="preserve">× BYN/EUR</t>
    </r>
  </si>
  <si>
    <r>
      <rPr>
        <sz val="10"/>
        <rFont val="Arial"/>
        <family val="0"/>
        <charset val="1"/>
      </rPr>
      <t xml:space="preserve">ЕТТ </t>
    </r>
    <r>
      <rPr>
        <sz val="10"/>
        <rFont val="WenQuanYi Zen Hei"/>
        <family val="2"/>
      </rPr>
      <t xml:space="preserve">关税（适用优惠前，</t>
    </r>
    <r>
      <rPr>
        <sz val="10"/>
        <rFont val="Arial"/>
        <family val="0"/>
        <charset val="1"/>
      </rPr>
      <t xml:space="preserve">BYN</t>
    </r>
    <r>
      <rPr>
        <sz val="10"/>
        <rFont val="WenQuanYi Zen Hei"/>
        <family val="2"/>
      </rPr>
      <t xml:space="preserve">）</t>
    </r>
  </si>
  <si>
    <t xml:space="preserve">按税率类型取值</t>
  </si>
  <si>
    <t xml:space="preserve">原产地待遇系数</t>
  </si>
  <si>
    <t xml:space="preserve">查右侧对照表</t>
  </si>
  <si>
    <r>
      <rPr>
        <sz val="10"/>
        <rFont val="WenQuanYi Zen Hei"/>
        <family val="2"/>
      </rPr>
      <t xml:space="preserve">应缴进口关税（</t>
    </r>
    <r>
      <rPr>
        <sz val="10"/>
        <rFont val="Arial"/>
        <family val="0"/>
        <charset val="1"/>
      </rPr>
      <t xml:space="preserve">BYN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</si>
  <si>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反倾销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特别关税（</t>
    </r>
    <r>
      <rPr>
        <sz val="10"/>
        <rFont val="Arial"/>
        <family val="0"/>
        <charset val="1"/>
      </rPr>
      <t xml:space="preserve">BYN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</si>
  <si>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消费税（</t>
    </r>
    <r>
      <rPr>
        <sz val="10"/>
        <rFont val="Arial"/>
        <family val="0"/>
        <charset val="1"/>
      </rPr>
      <t xml:space="preserve">BYN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</si>
  <si>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增值税税基（</t>
    </r>
    <r>
      <rPr>
        <sz val="10"/>
        <rFont val="Arial"/>
        <family val="0"/>
        <charset val="1"/>
      </rPr>
      <t xml:space="preserve">BYN</t>
    </r>
    <r>
      <rPr>
        <sz val="10"/>
        <rFont val="WenQuanYi Zen Hei"/>
        <family val="2"/>
      </rPr>
      <t xml:space="preserve">）</t>
    </r>
  </si>
  <si>
    <r>
      <rPr>
        <i val="true"/>
        <sz val="9"/>
        <color rgb="FF595959"/>
        <rFont val="WenQuanYi Zen Hei"/>
        <family val="2"/>
      </rPr>
      <t xml:space="preserve">完税价格 </t>
    </r>
    <r>
      <rPr>
        <i val="true"/>
        <sz val="9"/>
        <color rgb="FF595959"/>
        <rFont val="Arial"/>
        <family val="0"/>
        <charset val="1"/>
      </rPr>
      <t xml:space="preserve">+ </t>
    </r>
    <r>
      <rPr>
        <i val="true"/>
        <sz val="9"/>
        <color rgb="FF595959"/>
        <rFont val="WenQuanYi Zen Hei"/>
        <family val="2"/>
      </rPr>
      <t xml:space="preserve">关税 </t>
    </r>
    <r>
      <rPr>
        <i val="true"/>
        <sz val="9"/>
        <color rgb="FF595959"/>
        <rFont val="Arial"/>
        <family val="0"/>
        <charset val="1"/>
      </rPr>
      <t xml:space="preserve">+ </t>
    </r>
    <r>
      <rPr>
        <i val="true"/>
        <sz val="9"/>
        <color rgb="FF595959"/>
        <rFont val="WenQuanYi Zen Hei"/>
        <family val="2"/>
      </rPr>
      <t xml:space="preserve">特别关税 </t>
    </r>
    <r>
      <rPr>
        <i val="true"/>
        <sz val="9"/>
        <color rgb="FF595959"/>
        <rFont val="Arial"/>
        <family val="0"/>
        <charset val="1"/>
      </rPr>
      <t xml:space="preserve">+ </t>
    </r>
    <r>
      <rPr>
        <i val="true"/>
        <sz val="9"/>
        <color rgb="FF595959"/>
        <rFont val="WenQuanYi Zen Hei"/>
        <family val="2"/>
      </rPr>
      <t xml:space="preserve">消费税</t>
    </r>
  </si>
  <si>
    <r>
      <rPr>
        <sz val="10"/>
        <rFont val="WenQuanYi Zen Hei"/>
        <family val="2"/>
      </rPr>
      <t xml:space="preserve">增值税（</t>
    </r>
    <r>
      <rPr>
        <sz val="10"/>
        <rFont val="Arial"/>
        <family val="0"/>
        <charset val="1"/>
      </rPr>
      <t xml:space="preserve">BYN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</si>
  <si>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报废税（</t>
    </r>
    <r>
      <rPr>
        <sz val="10"/>
        <rFont val="Arial"/>
        <family val="0"/>
        <charset val="1"/>
      </rPr>
      <t xml:space="preserve">BYN</t>
    </r>
    <r>
      <rPr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</si>
  <si>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进口环节税费合计（</t>
    </r>
    <r>
      <rPr>
        <b val="true"/>
        <sz val="10"/>
        <rFont val="Arial"/>
        <family val="0"/>
        <charset val="1"/>
      </rPr>
      <t xml:space="preserve">BYN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</si>
  <si>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合计折合（</t>
    </r>
    <r>
      <rPr>
        <sz val="10"/>
        <rFont val="Arial"/>
        <family val="0"/>
        <charset val="1"/>
      </rPr>
      <t xml:space="preserve">USD</t>
    </r>
    <r>
      <rPr>
        <sz val="10"/>
        <rFont val="WenQuanYi Zen Hei"/>
        <family val="2"/>
      </rPr>
      <t xml:space="preserve">）</t>
    </r>
  </si>
  <si>
    <t xml:space="preserve">综合税负率（占完税价格）</t>
  </si>
  <si>
    <r>
      <rPr>
        <i val="true"/>
        <sz val="9"/>
        <color rgb="FF595959"/>
        <rFont val="WenQuanYi Zen Hei"/>
        <family val="2"/>
      </rPr>
      <t xml:space="preserve">示例（</t>
    </r>
    <r>
      <rPr>
        <i val="true"/>
        <sz val="9"/>
        <color rgb="FF595959"/>
        <rFont val="Arial"/>
        <family val="0"/>
        <charset val="1"/>
      </rPr>
      <t xml:space="preserve">10% </t>
    </r>
    <r>
      <rPr>
        <i val="true"/>
        <sz val="9"/>
        <color rgb="FF595959"/>
        <rFont val="WenQuanYi Zen Hei"/>
        <family val="2"/>
      </rPr>
      <t xml:space="preserve">关税、</t>
    </r>
    <r>
      <rPr>
        <i val="true"/>
        <sz val="9"/>
        <color rgb="FF595959"/>
        <rFont val="Arial"/>
        <family val="0"/>
        <charset val="1"/>
      </rPr>
      <t xml:space="preserve">20% </t>
    </r>
    <r>
      <rPr>
        <i val="true"/>
        <sz val="9"/>
        <color rgb="FF595959"/>
        <rFont val="WenQuanYi Zen Hei"/>
        <family val="2"/>
      </rPr>
      <t xml:space="preserve">增值税）应为 </t>
    </r>
    <r>
      <rPr>
        <i val="true"/>
        <sz val="9"/>
        <color rgb="FF595959"/>
        <rFont val="Arial"/>
        <family val="0"/>
        <charset val="1"/>
      </rPr>
      <t xml:space="preserve">32.0%</t>
    </r>
  </si>
  <si>
    <r>
      <rPr>
        <sz val="10"/>
        <rFont val="WenQuanYi Zen Hei"/>
        <family val="2"/>
      </rPr>
      <t xml:space="preserve">完税后到岸总成本（</t>
    </r>
    <r>
      <rPr>
        <sz val="10"/>
        <rFont val="Arial"/>
        <family val="0"/>
        <charset val="1"/>
      </rPr>
      <t xml:space="preserve">BYN</t>
    </r>
    <r>
      <rPr>
        <sz val="10"/>
        <rFont val="WenQuanYi Zen Hei"/>
        <family val="2"/>
      </rPr>
      <t xml:space="preserve">）</t>
    </r>
  </si>
  <si>
    <t xml:space="preserve">不含国内运输和清关代理费</t>
  </si>
  <si>
    <t xml:space="preserve">三、不同原产地待遇下的税负对比（同一商品、同一输入）</t>
  </si>
  <si>
    <r>
      <rPr>
        <b val="true"/>
        <sz val="10"/>
        <color rgb="FFFFFFFF"/>
        <rFont val="WenQuanYi Zen Hei"/>
        <family val="2"/>
      </rPr>
      <t xml:space="preserve">关税（</t>
    </r>
    <r>
      <rPr>
        <b val="true"/>
        <sz val="10"/>
        <color rgb="FFFFFFFF"/>
        <rFont val="Arial"/>
        <family val="0"/>
        <charset val="1"/>
      </rPr>
      <t xml:space="preserve">BYN</t>
    </r>
    <r>
      <rPr>
        <b val="true"/>
        <sz val="10"/>
        <color rgb="FFFFFFFF"/>
        <rFont val="WenQuanYi Zen Hei"/>
        <family val="2"/>
      </rPr>
      <t xml:space="preserve">）</t>
    </r>
  </si>
  <si>
    <r>
      <rPr>
        <b val="true"/>
        <sz val="10"/>
        <color rgb="FFFFFFFF"/>
        <rFont val="WenQuanYi Zen Hei"/>
        <family val="2"/>
      </rPr>
      <t xml:space="preserve">增值税（</t>
    </r>
    <r>
      <rPr>
        <b val="true"/>
        <sz val="10"/>
        <color rgb="FFFFFFFF"/>
        <rFont val="Arial"/>
        <family val="0"/>
        <charset val="1"/>
      </rPr>
      <t xml:space="preserve">BYN</t>
    </r>
    <r>
      <rPr>
        <b val="true"/>
        <sz val="10"/>
        <color rgb="FFFFFFFF"/>
        <rFont val="WenQuanYi Zen Hei"/>
        <family val="2"/>
      </rPr>
      <t xml:space="preserve">）</t>
    </r>
  </si>
  <si>
    <t xml:space="preserve">税负率</t>
  </si>
  <si>
    <r>
      <rPr>
        <i val="true"/>
        <sz val="9"/>
        <color rgb="FF595959"/>
        <rFont val="WenQuanYi Zen Hei"/>
        <family val="2"/>
      </rPr>
      <t xml:space="preserve">依据：增值税税基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完税价格 </t>
    </r>
    <r>
      <rPr>
        <i val="true"/>
        <sz val="9"/>
        <color rgb="FF595959"/>
        <rFont val="Arial"/>
        <family val="0"/>
        <charset val="1"/>
      </rPr>
      <t xml:space="preserve">+ </t>
    </r>
    <r>
      <rPr>
        <i val="true"/>
        <sz val="9"/>
        <color rgb="FF595959"/>
        <rFont val="WenQuanYi Zen Hei"/>
        <family val="2"/>
      </rPr>
      <t xml:space="preserve">关税 </t>
    </r>
    <r>
      <rPr>
        <i val="true"/>
        <sz val="9"/>
        <color rgb="FF595959"/>
        <rFont val="Arial"/>
        <family val="0"/>
        <charset val="1"/>
      </rPr>
      <t xml:space="preserve">+ </t>
    </r>
    <r>
      <rPr>
        <i val="true"/>
        <sz val="9"/>
        <color rgb="FF595959"/>
        <rFont val="WenQuanYi Zen Hei"/>
        <family val="2"/>
      </rPr>
      <t xml:space="preserve">消费税（《税法典》第 </t>
    </r>
    <r>
      <rPr>
        <i val="true"/>
        <sz val="9"/>
        <color rgb="FF595959"/>
        <rFont val="Arial"/>
        <family val="0"/>
        <charset val="1"/>
      </rPr>
      <t xml:space="preserve">14 </t>
    </r>
    <r>
      <rPr>
        <i val="true"/>
        <sz val="9"/>
        <color rgb="FF595959"/>
        <rFont val="WenQuanYi Zen Hei"/>
        <family val="2"/>
      </rPr>
      <t xml:space="preserve">章，来源 </t>
    </r>
    <r>
      <rPr>
        <i val="true"/>
        <sz val="9"/>
        <color rgb="FF595959"/>
        <rFont val="Arial"/>
        <family val="0"/>
        <charset val="1"/>
      </rPr>
      <t xml:space="preserve">S026</t>
    </r>
    <r>
      <rPr>
        <i val="true"/>
        <sz val="9"/>
        <color rgb="FF595959"/>
        <rFont val="WenQuanYi Zen Hei"/>
        <family val="2"/>
      </rPr>
      <t xml:space="preserve">）；普惠制 </t>
    </r>
    <r>
      <rPr>
        <i val="true"/>
        <sz val="9"/>
        <color rgb="FF595959"/>
        <rFont val="Arial"/>
        <family val="0"/>
        <charset val="1"/>
      </rPr>
      <t xml:space="preserve">75% </t>
    </r>
    <r>
      <rPr>
        <i val="true"/>
        <sz val="9"/>
        <color rgb="FF595959"/>
        <rFont val="WenQuanYi Zen Hei"/>
        <family val="2"/>
      </rPr>
      <t xml:space="preserve">规则（来源 </t>
    </r>
    <r>
      <rPr>
        <i val="true"/>
        <sz val="9"/>
        <color rgb="FF595959"/>
        <rFont val="Arial"/>
        <family val="0"/>
        <charset val="1"/>
      </rPr>
      <t xml:space="preserve">S005</t>
    </r>
    <r>
      <rPr>
        <i val="true"/>
        <sz val="9"/>
        <color rgb="FF595959"/>
        <rFont val="WenQuanYi Zen Hei"/>
        <family val="2"/>
      </rPr>
      <t xml:space="preserve">）；个人物品不适用本表，另按统一税率计征（见“个人物品与跨境电商”）。</t>
    </r>
  </si>
  <si>
    <t xml:space="preserve">数据来源清单</t>
  </si>
  <si>
    <r>
      <rPr>
        <i val="true"/>
        <sz val="9"/>
        <color rgb="FF595959"/>
        <rFont val="WenQuanYi Zen Hei"/>
        <family val="2"/>
      </rPr>
      <t xml:space="preserve">共 </t>
    </r>
    <r>
      <rPr>
        <i val="true"/>
        <sz val="9"/>
        <color rgb="FF595959"/>
        <rFont val="Arial"/>
        <family val="0"/>
        <charset val="1"/>
      </rPr>
      <t xml:space="preserve">120 </t>
    </r>
    <r>
      <rPr>
        <i val="true"/>
        <sz val="9"/>
        <color rgb="FF595959"/>
        <rFont val="WenQuanYi Zen Hei"/>
        <family val="2"/>
      </rPr>
      <t xml:space="preserve">条。获取方式：因环境网络限制，均通过搜索引擎索引摘要获取（未直接打开原文），检索日期 </t>
    </r>
    <r>
      <rPr>
        <i val="true"/>
        <sz val="9"/>
        <color rgb="FF595959"/>
        <rFont val="Arial"/>
        <family val="0"/>
        <charset val="1"/>
      </rPr>
      <t xml:space="preserve">2026-09-30</t>
    </r>
  </si>
  <si>
    <t xml:space="preserve">发布机构</t>
  </si>
  <si>
    <r>
      <rPr>
        <b val="true"/>
        <sz val="10"/>
        <color rgb="FFFFFFFF"/>
        <rFont val="WenQuanYi Zen Hei"/>
        <family val="2"/>
      </rPr>
      <t xml:space="preserve">标题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页面</t>
    </r>
  </si>
  <si>
    <t xml:space="preserve">来源层级</t>
  </si>
  <si>
    <t xml:space="preserve">URL</t>
  </si>
  <si>
    <t xml:space="preserve">获取方式</t>
  </si>
  <si>
    <t xml:space="preserve">S001</t>
  </si>
  <si>
    <t xml:space="preserve">白俄罗斯外交部</t>
  </si>
  <si>
    <r>
      <rPr>
        <sz val="10"/>
        <rFont val="Arial"/>
        <family val="0"/>
        <charset val="1"/>
      </rPr>
      <t xml:space="preserve">Ввозные таможенные пошлины</t>
    </r>
    <r>
      <rPr>
        <sz val="10"/>
        <rFont val="WenQuanYi Zen Hei"/>
        <family val="2"/>
      </rPr>
      <t xml:space="preserve">（进口关税）</t>
    </r>
  </si>
  <si>
    <t xml:space="preserve">一级：白俄国家机关官网</t>
  </si>
  <si>
    <t xml:space="preserve">https://www.mfa.gov.by/export/tariffs/vvoz/</t>
  </si>
  <si>
    <t xml:space="preserve">搜索引擎摘要</t>
  </si>
  <si>
    <t xml:space="preserve">S002</t>
  </si>
  <si>
    <r>
      <rPr>
        <sz val="10"/>
        <rFont val="Arial"/>
        <family val="0"/>
        <charset val="1"/>
      </rPr>
      <t xml:space="preserve">Тарифное регулирование</t>
    </r>
    <r>
      <rPr>
        <sz val="10"/>
        <rFont val="WenQuanYi Zen Hei"/>
        <family val="2"/>
      </rPr>
      <t xml:space="preserve">（关税调节总览）</t>
    </r>
  </si>
  <si>
    <t xml:space="preserve">https://mfa.gov.by/export/tariffs/</t>
  </si>
  <si>
    <t xml:space="preserve">S003</t>
  </si>
  <si>
    <r>
      <rPr>
        <sz val="10"/>
        <rFont val="Arial"/>
        <family val="0"/>
        <charset val="1"/>
      </rPr>
      <t xml:space="preserve">Изменение ставок ввозных таможенных пошлин</t>
    </r>
    <r>
      <rPr>
        <sz val="10"/>
        <rFont val="WenQuanYi Zen Hei"/>
        <family val="2"/>
      </rPr>
      <t xml:space="preserve">（进口关税税率调整）</t>
    </r>
  </si>
  <si>
    <t xml:space="preserve">https://mfa.gov.by/export/tariffs/rates/</t>
  </si>
  <si>
    <t xml:space="preserve">S004</t>
  </si>
  <si>
    <r>
      <rPr>
        <sz val="10"/>
        <rFont val="Arial"/>
        <family val="0"/>
        <charset val="1"/>
      </rPr>
      <t xml:space="preserve">Для инициирования повышения ставки ввозной таможенной пошлины</t>
    </r>
    <r>
      <rPr>
        <sz val="10"/>
        <rFont val="WenQuanYi Zen Hei"/>
        <family val="2"/>
      </rPr>
      <t xml:space="preserve">（发起提高税率）</t>
    </r>
  </si>
  <si>
    <t xml:space="preserve">https://mfa.gov.by/export/tariffs/rates/up/</t>
  </si>
  <si>
    <r>
      <rPr>
        <sz val="10"/>
        <rFont val="Arial"/>
        <family val="0"/>
        <charset val="1"/>
      </rPr>
      <t xml:space="preserve">Тарифные льготы и преференции</t>
    </r>
    <r>
      <rPr>
        <sz val="10"/>
        <rFont val="WenQuanYi Zen Hei"/>
        <family val="2"/>
      </rPr>
      <t xml:space="preserve">（关税减免与优惠）</t>
    </r>
  </si>
  <si>
    <t xml:space="preserve">https://www.mfa.gov.by/export/tariffs/preferences/</t>
  </si>
  <si>
    <t xml:space="preserve">S006</t>
  </si>
  <si>
    <r>
      <rPr>
        <sz val="10"/>
        <rFont val="Arial"/>
        <family val="0"/>
        <charset val="1"/>
      </rPr>
      <t xml:space="preserve">Вывозные таможенные пошлины</t>
    </r>
    <r>
      <rPr>
        <sz val="10"/>
        <rFont val="WenQuanYi Zen Hei"/>
        <family val="2"/>
      </rPr>
      <t xml:space="preserve">（出口关税）</t>
    </r>
  </si>
  <si>
    <t xml:space="preserve">https://www.mfa.gov.by/export/tariffs/vyvoz/</t>
  </si>
  <si>
    <r>
      <rPr>
        <sz val="10"/>
        <rFont val="Arial"/>
        <family val="0"/>
        <charset val="1"/>
      </rPr>
      <t xml:space="preserve">Торговые режимы</t>
    </r>
    <r>
      <rPr>
        <sz val="10"/>
        <rFont val="WenQuanYi Zen Hei"/>
        <family val="2"/>
      </rPr>
      <t xml:space="preserve">（贸易制度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自贸协定）</t>
    </r>
  </si>
  <si>
    <t xml:space="preserve">https://www.mfa.gov.by/export/traderegimes/</t>
  </si>
  <si>
    <t xml:space="preserve">S008</t>
  </si>
  <si>
    <r>
      <rPr>
        <sz val="10"/>
        <rFont val="Arial"/>
        <family val="0"/>
        <charset val="1"/>
      </rPr>
      <t xml:space="preserve">Евразийский экономический союз</t>
    </r>
    <r>
      <rPr>
        <sz val="10"/>
        <rFont val="WenQuanYi Zen Hei"/>
        <family val="2"/>
      </rPr>
      <t xml:space="preserve">（欧亚经济联盟）</t>
    </r>
  </si>
  <si>
    <t xml:space="preserve">https://mfa.gov.by/mulateral/organization/list/f535809e487e0aeb.html</t>
  </si>
  <si>
    <t xml:space="preserve">S009</t>
  </si>
  <si>
    <r>
      <rPr>
        <sz val="10"/>
        <rFont val="Arial"/>
        <family val="0"/>
        <charset val="1"/>
      </rPr>
      <t xml:space="preserve">Accession of Belarus to the WTO</t>
    </r>
    <r>
      <rPr>
        <sz val="10"/>
        <rFont val="WenQuanYi Zen Hei"/>
        <family val="2"/>
      </rPr>
      <t xml:space="preserve">（白俄入世）</t>
    </r>
  </si>
  <si>
    <t xml:space="preserve">https://www.mfa.gov.by/en/export/wto/accession/</t>
  </si>
  <si>
    <t xml:space="preserve">S010</t>
  </si>
  <si>
    <r>
      <rPr>
        <sz val="10"/>
        <rFont val="WenQuanYi Zen Hei"/>
        <family val="2"/>
      </rPr>
      <t xml:space="preserve">白俄罗斯国家海关委员会</t>
    </r>
    <r>
      <rPr>
        <sz val="10"/>
        <rFont val="Arial"/>
        <family val="0"/>
        <charset val="1"/>
      </rPr>
      <t xml:space="preserve">(ГТК)</t>
    </r>
  </si>
  <si>
    <t xml:space="preserve">https://www.customs.gov.by/tamozhennye-poshliny/vvoznye-tamozhennye-poshliny/</t>
  </si>
  <si>
    <t xml:space="preserve">S011</t>
  </si>
  <si>
    <r>
      <rPr>
        <sz val="10"/>
        <rFont val="Arial"/>
        <family val="0"/>
        <charset val="1"/>
      </rPr>
      <t xml:space="preserve">Таможенные пошлины</t>
    </r>
    <r>
      <rPr>
        <sz val="10"/>
        <rFont val="WenQuanYi Zen Hei"/>
        <family val="2"/>
      </rPr>
      <t xml:space="preserve">（海关关税）</t>
    </r>
  </si>
  <si>
    <t xml:space="preserve">https://www.customs.gov.by/participants-ved/tarifnoe-regulirovanie-i-tamozhennye-platezhi-vzimaemye-tamozhennymi-organami/tamozhennye-poshliny/</t>
  </si>
  <si>
    <t xml:space="preserve">S012</t>
  </si>
  <si>
    <t xml:space="preserve">https://www.customs.gov.by/tamozhennye-poshliny/vyvoznye-tamozhennye-poshliny/</t>
  </si>
  <si>
    <t xml:space="preserve">S013</t>
  </si>
  <si>
    <r>
      <rPr>
        <sz val="10"/>
        <rFont val="Arial"/>
        <family val="0"/>
        <charset val="1"/>
      </rPr>
      <t xml:space="preserve">Таможенные сборы</t>
    </r>
    <r>
      <rPr>
        <sz val="10"/>
        <rFont val="WenQuanYi Zen Hei"/>
        <family val="2"/>
      </rPr>
      <t xml:space="preserve">（海关手续费）</t>
    </r>
  </si>
  <si>
    <t xml:space="preserve">https://www.customs.gov.by/participants-ved/tarifnoe-regulirovanie-i-tamozhennye-platezhi-vzimaemye-tamozhennymi-organami/tamozhennye-sbory/</t>
  </si>
  <si>
    <t xml:space="preserve">S014</t>
  </si>
  <si>
    <r>
      <rPr>
        <sz val="10"/>
        <rFont val="WenQuanYi Zen Hei"/>
        <family val="2"/>
      </rPr>
      <t xml:space="preserve">《海关调节法》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第</t>
    </r>
    <r>
      <rPr>
        <sz val="10"/>
        <rFont val="Arial"/>
        <family val="0"/>
        <charset val="1"/>
      </rPr>
      <t xml:space="preserve">129-З</t>
    </r>
    <r>
      <rPr>
        <sz val="10"/>
        <rFont val="WenQuanYi Zen Hei"/>
        <family val="2"/>
      </rPr>
      <t xml:space="preserve">号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释义</t>
    </r>
  </si>
  <si>
    <t xml:space="preserve">https://www.customs.gov.by/participants-ved/kommentariy-k-zakonu-o-tamozhennom-regulirovanii-v-respublike-belarus/kommentariy-k-zakonu-rb-o-tamozhennom-regulirovanii-v-respubliki-belarus-s-uchetom-izmeneniy-vnesenn/</t>
  </si>
  <si>
    <r>
      <rPr>
        <sz val="10"/>
        <rFont val="Arial"/>
        <family val="0"/>
        <charset val="1"/>
      </rPr>
      <t xml:space="preserve">Таможенный калькулятор</t>
    </r>
    <r>
      <rPr>
        <sz val="10"/>
        <rFont val="WenQuanYi Zen Hei"/>
        <family val="2"/>
      </rPr>
      <t xml:space="preserve">（海关税费计算器）</t>
    </r>
  </si>
  <si>
    <t xml:space="preserve">https://www.customs.gov.by/calc/</t>
  </si>
  <si>
    <t xml:space="preserve">S016</t>
  </si>
  <si>
    <r>
      <rPr>
        <sz val="10"/>
        <rFont val="Arial"/>
        <family val="0"/>
        <charset val="1"/>
      </rPr>
      <t xml:space="preserve">О нормах беспошлинного ввоза товаров для личного пользования</t>
    </r>
    <r>
      <rPr>
        <sz val="10"/>
        <rFont val="WenQuanYi Zen Hei"/>
        <family val="2"/>
      </rPr>
      <t xml:space="preserve">（个人物品免税额）</t>
    </r>
  </si>
  <si>
    <t xml:space="preserve">https://www.customs.gov.by/news/vnimaniyu-fizicheskikh-lits-o-normakh-besposhlinnogo-vvoza-tovarov-dlya-lichnogo-polzovaniya/</t>
  </si>
  <si>
    <t xml:space="preserve">S017</t>
  </si>
  <si>
    <r>
      <rPr>
        <sz val="10"/>
        <rFont val="Arial"/>
        <family val="0"/>
        <charset val="1"/>
      </rPr>
      <t xml:space="preserve">Лимит 1 тыс. евро и 31 кг продлен до 1 апреля 2024 года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1000</t>
    </r>
    <r>
      <rPr>
        <sz val="10"/>
        <rFont val="WenQuanYi Zen Hei"/>
        <family val="2"/>
      </rPr>
      <t xml:space="preserve">欧元限额延至</t>
    </r>
    <r>
      <rPr>
        <sz val="10"/>
        <rFont val="Arial"/>
        <family val="0"/>
        <charset val="1"/>
      </rPr>
      <t xml:space="preserve">2024-04-01</t>
    </r>
    <r>
      <rPr>
        <sz val="10"/>
        <rFont val="WenQuanYi Zen Hei"/>
        <family val="2"/>
      </rPr>
      <t xml:space="preserve">）</t>
    </r>
  </si>
  <si>
    <t xml:space="preserve">https://www.customs.gov.by/news/limit-besposhlinnogo-vvoza-tovarov-dlya-lichnogo-polzovaniya-v-1-tys-evro-i-31-kg-prodlen-do-1-aprel/</t>
  </si>
  <si>
    <t xml:space="preserve">S018</t>
  </si>
  <si>
    <r>
      <rPr>
        <sz val="10"/>
        <rFont val="Arial"/>
        <family val="0"/>
        <charset val="1"/>
      </rPr>
      <t xml:space="preserve">Особенности таможенных операций с МПО</t>
    </r>
    <r>
      <rPr>
        <sz val="10"/>
        <rFont val="WenQuanYi Zen Hei"/>
        <family val="2"/>
      </rPr>
      <t xml:space="preserve">（国际邮件个人物品）</t>
    </r>
  </si>
  <si>
    <t xml:space="preserve">https://www.customs.gov.by/fizicheskim-litsam/osobennosti-soversheniya-tamozhennykh-operatsiy-v-otnoshenii-tovarov-dlya-lichnogo-polzovaniya-peres/</t>
  </si>
  <si>
    <t xml:space="preserve">S019</t>
  </si>
  <si>
    <r>
      <rPr>
        <sz val="10"/>
        <rFont val="Arial"/>
        <family val="0"/>
        <charset val="1"/>
      </rPr>
      <t xml:space="preserve">Утилизационный сбор</t>
    </r>
    <r>
      <rPr>
        <sz val="10"/>
        <rFont val="WenQuanYi Zen Hei"/>
        <family val="2"/>
      </rPr>
      <t xml:space="preserve">（报废税）</t>
    </r>
  </si>
  <si>
    <t xml:space="preserve">https://www.customs.gov.by/participants-ved/biznesmenam/utilizatsionnyy-sbor/</t>
  </si>
  <si>
    <t xml:space="preserve">Изменение ставок утилизационного сбора с 10 февраля 2025 года</t>
  </si>
  <si>
    <t xml:space="preserve">https://www.customs.gov.by/news/izmenenie-stavok-utilizatsionnogo-sbora-s-10-fevralya-2025-goda/</t>
  </si>
  <si>
    <t xml:space="preserve">S021</t>
  </si>
  <si>
    <t xml:space="preserve">Об установлении льгот в отношении электромобилей на 2026 год</t>
  </si>
  <si>
    <t xml:space="preserve">S022</t>
  </si>
  <si>
    <r>
      <rPr>
        <sz val="10"/>
        <rFont val="WenQuanYi Zen Hei"/>
        <family val="2"/>
      </rPr>
      <t xml:space="preserve">白俄罗斯税务部</t>
    </r>
    <r>
      <rPr>
        <sz val="10"/>
        <rFont val="Arial"/>
        <family val="0"/>
        <charset val="1"/>
      </rPr>
      <t xml:space="preserve">(МНС)</t>
    </r>
    <r>
      <rPr>
        <sz val="10"/>
        <rFont val="WenQuanYi Zen Hei"/>
        <family val="2"/>
      </rPr>
      <t xml:space="preserve">明斯克州局</t>
    </r>
  </si>
  <si>
    <r>
      <rPr>
        <sz val="10"/>
        <rFont val="Arial"/>
        <family val="0"/>
        <charset val="1"/>
      </rPr>
      <t xml:space="preserve">Об отдельных изменениях в применении с 2026 года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年增值税变化）</t>
    </r>
  </si>
  <si>
    <t xml:space="preserve">https://nalog.gov.by/inspectorates/reference/imns-minsk-region/clarifications/33985</t>
  </si>
  <si>
    <t xml:space="preserve">S023</t>
  </si>
  <si>
    <r>
      <rPr>
        <sz val="10"/>
        <rFont val="WenQuanYi Zen Hei"/>
        <family val="2"/>
      </rPr>
      <t xml:space="preserve">白俄罗斯税务部</t>
    </r>
    <r>
      <rPr>
        <sz val="10"/>
        <rFont val="Arial"/>
        <family val="0"/>
        <charset val="1"/>
      </rPr>
      <t xml:space="preserve">(МНС)</t>
    </r>
  </si>
  <si>
    <r>
      <rPr>
        <sz val="10"/>
        <rFont val="Arial"/>
        <family val="0"/>
        <charset val="1"/>
      </rPr>
      <t xml:space="preserve">Перечень товаров, при реализации которых применяется ставка НДС 10%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10%</t>
    </r>
    <r>
      <rPr>
        <sz val="10"/>
        <rFont val="WenQuanYi Zen Hei"/>
        <family val="2"/>
      </rPr>
      <t xml:space="preserve">增值税商品清单）</t>
    </r>
  </si>
  <si>
    <t xml:space="preserve">https://nalog.gov.by/upload/doc/%D0%9F%D0%B5%D1%80%D0%B5%D1%87%D0%B5%D0%BD%D1%8C%20%D1%82%D0%BE%D0%B2%D0%B0%D1%80%D0%BE%D0%B2.pdf</t>
  </si>
  <si>
    <t xml:space="preserve">S024</t>
  </si>
  <si>
    <r>
      <rPr>
        <sz val="10"/>
        <rFont val="Arial"/>
        <family val="0"/>
        <charset val="1"/>
      </rPr>
      <t xml:space="preserve">Комментарий: изменения 2026 года в части акцизов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年消费税变化）</t>
    </r>
  </si>
  <si>
    <t xml:space="preserve">https://nalog.gov.by/clarifications/comments/33596/</t>
  </si>
  <si>
    <t xml:space="preserve">S025</t>
  </si>
  <si>
    <r>
      <rPr>
        <sz val="10"/>
        <rFont val="Arial"/>
        <family val="0"/>
        <charset val="1"/>
      </rPr>
      <t xml:space="preserve">Об изменении размера базовой величины</t>
    </r>
    <r>
      <rPr>
        <sz val="10"/>
        <rFont val="WenQuanYi Zen Hei"/>
        <family val="2"/>
      </rPr>
      <t xml:space="preserve">（基本单位调整）</t>
    </r>
  </si>
  <si>
    <t xml:space="preserve">https://nalog.gov.by/news/33270/</t>
  </si>
  <si>
    <t xml:space="preserve">S026</t>
  </si>
  <si>
    <t xml:space="preserve">白俄罗斯财政部</t>
  </si>
  <si>
    <r>
      <rPr>
        <sz val="10"/>
        <rFont val="Arial"/>
        <family val="0"/>
        <charset val="1"/>
      </rPr>
      <t xml:space="preserve">НДС (Глава 14 Налогового кодекса)</t>
    </r>
    <r>
      <rPr>
        <sz val="10"/>
        <rFont val="WenQuanYi Zen Hei"/>
        <family val="2"/>
      </rPr>
      <t xml:space="preserve">（增值税）</t>
    </r>
  </si>
  <si>
    <t xml:space="preserve">https://www.minfin.gov.by/ru/tax_policy/tax_system/doc/12b988b8d25b4048.html</t>
  </si>
  <si>
    <t xml:space="preserve">S027</t>
  </si>
  <si>
    <r>
      <rPr>
        <sz val="10"/>
        <rFont val="Arial"/>
        <family val="0"/>
        <charset val="1"/>
      </rPr>
      <t xml:space="preserve">Акцизы (Глава 15 Налогового кодекса)</t>
    </r>
    <r>
      <rPr>
        <sz val="10"/>
        <rFont val="WenQuanYi Zen Hei"/>
        <family val="2"/>
      </rPr>
      <t xml:space="preserve">（消费税）</t>
    </r>
  </si>
  <si>
    <t xml:space="preserve">https://www.minfin.gov.by/ru/tax_policy/tax_system/doc/92aa7b734d3b48a6.html</t>
  </si>
  <si>
    <t xml:space="preserve">S028</t>
  </si>
  <si>
    <t xml:space="preserve">白俄罗斯经济部</t>
  </si>
  <si>
    <r>
      <rPr>
        <sz val="10"/>
        <rFont val="Arial"/>
        <family val="0"/>
        <charset val="1"/>
      </rPr>
      <t xml:space="preserve">Таможенно-тарифное и нетарифное регулирование</t>
    </r>
    <r>
      <rPr>
        <sz val="10"/>
        <rFont val="WenQuanYi Zen Hei"/>
        <family val="2"/>
      </rPr>
      <t xml:space="preserve">（关税与非关税调节）</t>
    </r>
  </si>
  <si>
    <t xml:space="preserve">https://economy.gov.by/ru/ttn-ru/</t>
  </si>
  <si>
    <r>
      <rPr>
        <sz val="10"/>
        <rFont val="WenQuanYi Zen Hei"/>
        <family val="2"/>
      </rPr>
      <t xml:space="preserve">国家法律信息门户 </t>
    </r>
    <r>
      <rPr>
        <sz val="10"/>
        <rFont val="Arial"/>
        <family val="0"/>
        <charset val="1"/>
      </rPr>
      <t xml:space="preserve">pravo.by</t>
    </r>
  </si>
  <si>
    <r>
      <rPr>
        <sz val="10"/>
        <rFont val="Arial"/>
        <family val="0"/>
        <charset val="1"/>
      </rPr>
      <t xml:space="preserve">Договор о Евразийском экономическом союзе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EAEU</t>
    </r>
    <r>
      <rPr>
        <sz val="10"/>
        <rFont val="WenQuanYi Zen Hei"/>
        <family val="2"/>
      </rPr>
      <t xml:space="preserve">条约）</t>
    </r>
  </si>
  <si>
    <r>
      <rPr>
        <sz val="10"/>
        <rFont val="WenQuanYi Zen Hei"/>
        <family val="2"/>
      </rPr>
      <t xml:space="preserve">一级：白俄国家法律信息门户 </t>
    </r>
    <r>
      <rPr>
        <sz val="10"/>
        <rFont val="Arial"/>
        <family val="0"/>
        <charset val="1"/>
      </rPr>
      <t xml:space="preserve">pravo.by</t>
    </r>
  </si>
  <si>
    <t xml:space="preserve">https://pravo.by/document/?guid=3871&amp;p0=f01400176</t>
  </si>
  <si>
    <r>
      <rPr>
        <sz val="10"/>
        <rFont val="Arial"/>
        <family val="0"/>
        <charset val="1"/>
      </rPr>
      <t xml:space="preserve">Таможенный кодекс ЕАЭС: новая логика взаимодействия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EAEU</t>
    </r>
    <r>
      <rPr>
        <sz val="10"/>
        <rFont val="WenQuanYi Zen Hei"/>
        <family val="2"/>
      </rPr>
      <t xml:space="preserve">海关法典）</t>
    </r>
  </si>
  <si>
    <t xml:space="preserve">https://pravo.by/novosti/obshchestvenno-politicheskie-i-v-oblasti-prava/2018/january/27031/</t>
  </si>
  <si>
    <t xml:space="preserve">S031</t>
  </si>
  <si>
    <r>
      <rPr>
        <sz val="10"/>
        <rFont val="Arial"/>
        <family val="0"/>
        <charset val="1"/>
      </rPr>
      <t xml:space="preserve">Указ № 443 «О таможенных сборах»</t>
    </r>
    <r>
      <rPr>
        <sz val="10"/>
        <rFont val="WenQuanYi Zen Hei"/>
        <family val="2"/>
      </rPr>
      <t xml:space="preserve">（总统令第</t>
    </r>
    <r>
      <rPr>
        <sz val="10"/>
        <rFont val="Arial"/>
        <family val="0"/>
        <charset val="1"/>
      </rPr>
      <t xml:space="preserve">443</t>
    </r>
    <r>
      <rPr>
        <sz val="10"/>
        <rFont val="WenQuanYi Zen Hei"/>
        <family val="2"/>
      </rPr>
      <t xml:space="preserve">号）</t>
    </r>
  </si>
  <si>
    <t xml:space="preserve">https://pravo.by/document/?guid=3871&amp;p0=P30600443</t>
  </si>
  <si>
    <t xml:space="preserve">S032</t>
  </si>
  <si>
    <r>
      <rPr>
        <sz val="10"/>
        <rFont val="Arial"/>
        <family val="0"/>
        <charset val="1"/>
      </rPr>
      <t xml:space="preserve">«О ставках вывозных таможенных пошлин»</t>
    </r>
    <r>
      <rPr>
        <sz val="10"/>
        <rFont val="WenQuanYi Zen Hei"/>
        <family val="2"/>
      </rPr>
      <t xml:space="preserve">（出口关税税率）</t>
    </r>
  </si>
  <si>
    <t xml:space="preserve">https://pravo.by/document/?guid=3871&amp;p0=P31000716</t>
  </si>
  <si>
    <r>
      <rPr>
        <sz val="10"/>
        <rFont val="Arial"/>
        <family val="0"/>
        <charset val="1"/>
      </rPr>
      <t xml:space="preserve">Совет ЕЭК изменил список стран, пользующихся преференциями ЕАЭС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2025-05</t>
    </r>
    <r>
      <rPr>
        <sz val="10"/>
        <rFont val="WenQuanYi Zen Hei"/>
        <family val="2"/>
      </rPr>
      <t xml:space="preserve">）</t>
    </r>
  </si>
  <si>
    <t xml:space="preserve">https://pravo.by/novosti/obshchestvenno-politicheskie-i-v-oblasti-prava/2025/maj/88640/</t>
  </si>
  <si>
    <r>
      <rPr>
        <sz val="10"/>
        <rFont val="Arial"/>
        <family val="0"/>
        <charset val="1"/>
      </rPr>
      <t xml:space="preserve">Совет ЕЭК изменил порядок применения единой системы тарифных преференций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2025-11</t>
    </r>
    <r>
      <rPr>
        <sz val="10"/>
        <rFont val="WenQuanYi Zen Hei"/>
        <family val="2"/>
      </rPr>
      <t xml:space="preserve">）</t>
    </r>
  </si>
  <si>
    <t xml:space="preserve">https://pravo.by/novosti/obshchestvenno-politicheskie-i-v-oblasti-prava/2025/november/91155/</t>
  </si>
  <si>
    <t xml:space="preserve">Совет ЕЭК продлил до 2030 года упрощенный порядок подтверждения происхождения</t>
  </si>
  <si>
    <t xml:space="preserve">https://pravo.by/novosti/obshchestvenno-politicheskie-i-v-oblasti-prava/2025/november/91153/</t>
  </si>
  <si>
    <t xml:space="preserve">ГТК о нормах беспошлинного ввоза с 1 апреля 2024 г.</t>
  </si>
  <si>
    <t xml:space="preserve">https://pravo.by/novosti/obshchestvenno-politicheskie-i-v-oblasti-prava/2024/mart/77194/</t>
  </si>
  <si>
    <t xml:space="preserve">S037</t>
  </si>
  <si>
    <t xml:space="preserve">Совет ЕЭК установил норму для беспошлинных покупок на иностранных маркетплейсах</t>
  </si>
  <si>
    <t xml:space="preserve">https://pravo.by/novosti/obshchestvenno-politicheskie-i-v-oblasti-prava/2026/january/91835/</t>
  </si>
  <si>
    <t xml:space="preserve">Новые правила регулирования внешней электронной торговли заработают с 1 января 2027 года</t>
  </si>
  <si>
    <t xml:space="preserve">https://pravo.by/novosti/obshchestvenno-politicheskie-i-v-oblasti-prava/2026/august/94519/</t>
  </si>
  <si>
    <r>
      <rPr>
        <sz val="10"/>
        <rFont val="Arial"/>
        <family val="0"/>
        <charset val="1"/>
      </rPr>
      <t xml:space="preserve">Что меняется в доставке МПО и товаров из стран ЕАЭС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2025-10</t>
    </r>
    <r>
      <rPr>
        <sz val="10"/>
        <rFont val="WenQuanYi Zen Hei"/>
        <family val="2"/>
      </rPr>
      <t xml:space="preserve">）</t>
    </r>
  </si>
  <si>
    <t xml:space="preserve">https://pravo.by/novosti/obshchestvenno-politicheskie-i-v-oblasti-prava/2025/october/90645/</t>
  </si>
  <si>
    <r>
      <rPr>
        <sz val="10"/>
        <rFont val="Arial"/>
        <family val="0"/>
        <charset val="1"/>
      </rPr>
      <t xml:space="preserve">Ставки останутся прежними. В ГТК разъяснили новшества при ввозе авто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2025-10</t>
    </r>
    <r>
      <rPr>
        <sz val="10"/>
        <rFont val="WenQuanYi Zen Hei"/>
        <family val="2"/>
      </rPr>
      <t xml:space="preserve">）</t>
    </r>
  </si>
  <si>
    <t xml:space="preserve">S041</t>
  </si>
  <si>
    <r>
      <rPr>
        <sz val="10"/>
        <rFont val="Arial"/>
        <family val="0"/>
        <charset val="1"/>
      </rPr>
      <t xml:space="preserve">Как теперь действуют льготы на ввоз электромобилей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2026-02</t>
    </r>
    <r>
      <rPr>
        <sz val="10"/>
        <rFont val="WenQuanYi Zen Hei"/>
        <family val="2"/>
      </rPr>
      <t xml:space="preserve">）</t>
    </r>
  </si>
  <si>
    <t xml:space="preserve">S042</t>
  </si>
  <si>
    <t xml:space="preserve">ГТК – об изменении законодательства о льготах для электромобилей в 2026 году</t>
  </si>
  <si>
    <t xml:space="preserve">https://pravo.by/novosti/obshchestvenno-politicheskie-i-v-oblasti-prava/2026/maj/93389/</t>
  </si>
  <si>
    <r>
      <rPr>
        <sz val="10"/>
        <rFont val="Arial"/>
        <family val="0"/>
        <charset val="1"/>
      </rPr>
      <t xml:space="preserve">Правительство пересчитало ставки утилизационного сбора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2026-04</t>
    </r>
    <r>
      <rPr>
        <sz val="10"/>
        <rFont val="WenQuanYi Zen Hei"/>
        <family val="2"/>
      </rPr>
      <t xml:space="preserve">）</t>
    </r>
  </si>
  <si>
    <t xml:space="preserve">https://pravo.by/novosti/obshchestvenno-politicheskie-i-v-oblasti-prava/2026/april/93202/</t>
  </si>
  <si>
    <t xml:space="preserve">Важные новации наступившего 2026 года</t>
  </si>
  <si>
    <t xml:space="preserve">https://pravo.by/novosti/obshchestvenno-politicheskie-i-v-oblasti-prava/2026/january/91745/</t>
  </si>
  <si>
    <t xml:space="preserve">S045</t>
  </si>
  <si>
    <t xml:space="preserve">Кому и сколько надо будет уплатить налогов в 2026 году</t>
  </si>
  <si>
    <t xml:space="preserve">https://pravo.by/novosti/obshchestvenno-politicheskie-i-v-oblasti-prava/2025/november/90979/</t>
  </si>
  <si>
    <t xml:space="preserve">Порядок использования тарифной льготы на ввоз мяса КРС в 2026 году</t>
  </si>
  <si>
    <r>
      <rPr>
        <sz val="10"/>
        <rFont val="Arial"/>
        <family val="0"/>
        <charset val="1"/>
      </rPr>
      <t xml:space="preserve">В Беларуси повышают экспортные пошлины на сжиженные углеводородные газы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2026-05</t>
    </r>
    <r>
      <rPr>
        <sz val="10"/>
        <rFont val="WenQuanYi Zen Hei"/>
        <family val="2"/>
      </rPr>
      <t xml:space="preserve">）</t>
    </r>
  </si>
  <si>
    <t xml:space="preserve">https://pravo.by/novosti/obshchestvenno-politicheskie-i-v-oblasti-prava/2026/maj/93417/</t>
  </si>
  <si>
    <r>
      <rPr>
        <sz val="10"/>
        <rFont val="Arial"/>
        <family val="0"/>
        <charset val="1"/>
      </rPr>
      <t xml:space="preserve">Правительством скорректированы экспортные пошлины на отдельные нефтепродукты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2026-04</t>
    </r>
    <r>
      <rPr>
        <sz val="10"/>
        <rFont val="WenQuanYi Zen Hei"/>
        <family val="2"/>
      </rPr>
      <t xml:space="preserve">）</t>
    </r>
  </si>
  <si>
    <t xml:space="preserve">https://pravo.by/novosti/novosti-pravo-by/2026/april/93091/</t>
  </si>
  <si>
    <r>
      <rPr>
        <sz val="10"/>
        <rFont val="Arial"/>
        <family val="0"/>
        <charset val="1"/>
      </rPr>
      <t xml:space="preserve">Правительство продлило запрет на ввоз товаров через белорусско-литовский участок границы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2026-03</t>
    </r>
    <r>
      <rPr>
        <sz val="10"/>
        <rFont val="WenQuanYi Zen Hei"/>
        <family val="2"/>
      </rPr>
      <t xml:space="preserve">）</t>
    </r>
  </si>
  <si>
    <t xml:space="preserve">https://pravo.by/novosti/obshchestvenno-politicheskie-i-v-oblasti-prava/2026/mart/92886/</t>
  </si>
  <si>
    <t xml:space="preserve">S050</t>
  </si>
  <si>
    <r>
      <rPr>
        <sz val="10"/>
        <rFont val="Arial"/>
        <family val="0"/>
        <charset val="1"/>
      </rPr>
      <t xml:space="preserve">«О применении специальной ограничительной меры»</t>
    </r>
    <r>
      <rPr>
        <sz val="10"/>
        <rFont val="WenQuanYi Zen Hei"/>
        <family val="2"/>
      </rPr>
      <t xml:space="preserve">（特别限制措施决议）</t>
    </r>
  </si>
  <si>
    <t xml:space="preserve">https://pravo.by/document/?guid=3871&amp;p0=C22500808</t>
  </si>
  <si>
    <t xml:space="preserve">Беларусь продлила запрет на маркировку импортируемых товаров на территории недружественных стран</t>
  </si>
  <si>
    <t xml:space="preserve">https://pravo.by/novosti/obshchestvenno-politicheskie-i-v-oblasti-prava/2026/february/92147/</t>
  </si>
  <si>
    <r>
      <rPr>
        <sz val="10"/>
        <rFont val="Arial"/>
        <family val="0"/>
        <charset val="1"/>
      </rPr>
      <t xml:space="preserve">Дополнен перечень товаров, запрещенных к ввозу и реализации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2024-05</t>
    </r>
    <r>
      <rPr>
        <sz val="10"/>
        <rFont val="WenQuanYi Zen Hei"/>
        <family val="2"/>
      </rPr>
      <t xml:space="preserve">）</t>
    </r>
  </si>
  <si>
    <t xml:space="preserve">https://pravo.by/novosti/obshchestvenno-politicheskie-i-v-oblasti-prava/2024/maj/77786/</t>
  </si>
  <si>
    <r>
      <rPr>
        <sz val="10"/>
        <rFont val="Arial"/>
        <family val="0"/>
        <charset val="1"/>
      </rPr>
      <t xml:space="preserve">Беларусь вводит с 23 сентября временный запрет на вывоз отдельных промтоваров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2026-09</t>
    </r>
    <r>
      <rPr>
        <sz val="10"/>
        <rFont val="WenQuanYi Zen Hei"/>
        <family val="2"/>
      </rPr>
      <t xml:space="preserve">）</t>
    </r>
  </si>
  <si>
    <t xml:space="preserve">https://pravo.by/novosti/obshchestvenno-politicheskie-i-v-oblasti-prava/2026/september/94822/</t>
  </si>
  <si>
    <t xml:space="preserve">S054</t>
  </si>
  <si>
    <r>
      <rPr>
        <sz val="10"/>
        <rFont val="Arial"/>
        <family val="0"/>
        <charset val="1"/>
      </rPr>
      <t xml:space="preserve">Постановление Совмина от 19.03.2026 № 128</t>
    </r>
    <r>
      <rPr>
        <sz val="10"/>
        <rFont val="WenQuanYi Zen Hei"/>
        <family val="2"/>
      </rPr>
      <t xml:space="preserve">（临时出口禁令）</t>
    </r>
  </si>
  <si>
    <t xml:space="preserve">https://pravo.by/document/?guid=12551&amp;p0=C22600128</t>
  </si>
  <si>
    <r>
      <rPr>
        <sz val="10"/>
        <rFont val="Arial"/>
        <family val="0"/>
        <charset val="1"/>
      </rPr>
      <t xml:space="preserve">Минсельхозпрод установил предельные минимальные цены на ряд экспортируемых товаров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2025-09</t>
    </r>
    <r>
      <rPr>
        <sz val="10"/>
        <rFont val="WenQuanYi Zen Hei"/>
        <family val="2"/>
      </rPr>
      <t xml:space="preserve">）</t>
    </r>
  </si>
  <si>
    <t xml:space="preserve">https://pravo.by/novosti/obshchestvenno-politicheskie-i-v-oblasti-prava/2025/september/89990/</t>
  </si>
  <si>
    <t xml:space="preserve">ГТК – об обязательном использовании навигационных пломб с 11 февраля 2026 г.</t>
  </si>
  <si>
    <t xml:space="preserve">https://pravo.by/novosti/obshchestvenno-politicheskie-i-v-oblasti-prava/2026/february/92249/</t>
  </si>
  <si>
    <t xml:space="preserve">О маркировке с 1 мая 2026 г. безалкогольных напитков и соков</t>
  </si>
  <si>
    <t xml:space="preserve">https://pravo.by/novosti/obshchestvenno-politicheskie-i-v-oblasti-prava/2026/april/92977/</t>
  </si>
  <si>
    <t xml:space="preserve">В ЕАЭС на постоянной основе начнет функционировать механизм прослеживаемости</t>
  </si>
  <si>
    <t xml:space="preserve">https://pravo.by/novosti/obshchestvenno-politicheskie-i-v-oblasti-prava/2026/maj/93540/</t>
  </si>
  <si>
    <t xml:space="preserve">S059</t>
  </si>
  <si>
    <t xml:space="preserve">ГТК о вступлении в силу соглашения о свободной торговле ЕАЭС–Иран</t>
  </si>
  <si>
    <t xml:space="preserve">https://pravo.by/novosti/obshchestvenno-politicheskie-i-v-oblasti-prava/2025/april/88418/</t>
  </si>
  <si>
    <t xml:space="preserve">Полноформатное соглашение о свободной торговле между ЕАЭС и Ираном вступило в силу</t>
  </si>
  <si>
    <t xml:space="preserve">https://pravo.by/novosti/obshchestvenno-politicheskie-i-v-oblasti-prava/2025/maj/88715/</t>
  </si>
  <si>
    <r>
      <rPr>
        <sz val="10"/>
        <rFont val="Arial"/>
        <family val="0"/>
        <charset val="1"/>
      </rPr>
      <t xml:space="preserve">С какими странами ЕАЭС готовит соглашения о свободной торговле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2025-12</t>
    </r>
    <r>
      <rPr>
        <sz val="10"/>
        <rFont val="WenQuanYi Zen Hei"/>
        <family val="2"/>
      </rPr>
      <t xml:space="preserve">）</t>
    </r>
  </si>
  <si>
    <t xml:space="preserve">https://pravo.by/novosti/obshchestvenno-politicheskie-i-v-oblasti-prava/2025/december/91332/</t>
  </si>
  <si>
    <t xml:space="preserve">Соглашение о свободной торговле подписано между ЕАЭС и Индонезией</t>
  </si>
  <si>
    <t xml:space="preserve">https://pravo.by/novosti/obshchestvenno-politicheskie-i-v-oblasti-prava/2025/december/91549/</t>
  </si>
  <si>
    <t xml:space="preserve">S063</t>
  </si>
  <si>
    <r>
      <rPr>
        <sz val="10"/>
        <rFont val="Arial"/>
        <family val="0"/>
        <charset val="1"/>
      </rPr>
      <t xml:space="preserve">Договор о зоне свободной торговли</t>
    </r>
    <r>
      <rPr>
        <sz val="10"/>
        <rFont val="WenQuanYi Zen Hei"/>
        <family val="2"/>
      </rPr>
      <t xml:space="preserve">（独联体自贸区条约，</t>
    </r>
    <r>
      <rPr>
        <sz val="10"/>
        <rFont val="Arial"/>
        <family val="0"/>
        <charset val="1"/>
      </rPr>
      <t xml:space="preserve">2011</t>
    </r>
    <r>
      <rPr>
        <sz val="10"/>
        <rFont val="WenQuanYi Zen Hei"/>
        <family val="2"/>
      </rPr>
      <t xml:space="preserve">）</t>
    </r>
  </si>
  <si>
    <t xml:space="preserve">https://pravo.by/document/?guid=3871&amp;p0=N01100083</t>
  </si>
  <si>
    <t xml:space="preserve">Беларусь и ОАЭ подписали соглашение о торговле услугами и инвестициях</t>
  </si>
  <si>
    <t xml:space="preserve">https://pravo.by/novosti/obshchestvenno-politicheskie-i-v-oblasti-prava/2025/june/89278/</t>
  </si>
  <si>
    <t xml:space="preserve">Указ № 166 «О совершенствовании специального правового режима парка "Великий камень"»</t>
  </si>
  <si>
    <t xml:space="preserve">https://pravo.by/document/?guid=3871&amp;p0=P31700166</t>
  </si>
  <si>
    <t xml:space="preserve">Указом № 77 установлены льготы по НДС при ввозе оборудования, не имеющего аналогов</t>
  </si>
  <si>
    <t xml:space="preserve">https://pravo.by/novosti/obshchestvenno-politicheskie-i-v-oblasti-prava/2024/mart/76990/</t>
  </si>
  <si>
    <t xml:space="preserve">Коллегия ЕЭК на три года обнулила пошлины на отдельные виды орехов, семян и косточек</t>
  </si>
  <si>
    <t xml:space="preserve">https://pravo.by/novosti/obshchestvenno-politicheskie-i-v-oblasti-prava/2025/december/91191/</t>
  </si>
  <si>
    <t xml:space="preserve">Решение о применении антидемпинговой пошлины в отношении диоксида титана из КНР</t>
  </si>
  <si>
    <t xml:space="preserve">https://pravo.by/document/?guid=3871&amp;p0=F92500257</t>
  </si>
  <si>
    <t xml:space="preserve">Решение о применении антидемпинговой пошлины в отношении алюминиевой фольги из КНР</t>
  </si>
  <si>
    <t xml:space="preserve">https://pravo.by/document/?guid=3871&amp;p0=F92500258</t>
  </si>
  <si>
    <t xml:space="preserve">BelTA</t>
  </si>
  <si>
    <r>
      <rPr>
        <sz val="10"/>
        <rFont val="Arial"/>
        <family val="0"/>
        <charset val="1"/>
      </rPr>
      <t xml:space="preserve">Совет ЕЭК исключил 77 государств из системы тарифных преференций ЕАЭС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2021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</si>
  <si>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二级：白俄国家通讯社 </t>
    </r>
    <r>
      <rPr>
        <sz val="10"/>
        <rFont val="Arial"/>
        <family val="0"/>
        <charset val="1"/>
      </rPr>
      <t xml:space="preserve">BelTA</t>
    </r>
  </si>
  <si>
    <t xml:space="preserve">https://belta.by/economics/view/sovet-eek-iskljuchil-77-gosudarstv-iz-sistemy-tarifnyh-preferentsij-eaes-431450-2021/</t>
  </si>
  <si>
    <t xml:space="preserve">S071</t>
  </si>
  <si>
    <r>
      <rPr>
        <sz val="10"/>
        <rFont val="Arial"/>
        <family val="0"/>
        <charset val="1"/>
      </rPr>
      <t xml:space="preserve">ЕЭК обновила перечни стран-пользователей единой системы тарифных преференций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2021</t>
    </r>
    <r>
      <rPr>
        <sz val="10"/>
        <rFont val="WenQuanYi Zen Hei"/>
        <family val="2"/>
      </rPr>
      <t xml:space="preserve">）</t>
    </r>
  </si>
  <si>
    <t xml:space="preserve">https://belta.by/economics/view/eek-obnovila-perechni-stran-polzovatelej-edinoj-sistemy-tarifnyh-preferentsij-eaes-436828-2021/</t>
  </si>
  <si>
    <r>
      <rPr>
        <sz val="10"/>
        <rFont val="Arial"/>
        <family val="0"/>
        <charset val="1"/>
      </rPr>
      <t xml:space="preserve">ЕАЭС пока не готов переходить на преференциальный режим торговли с Китаем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2019</t>
    </r>
    <r>
      <rPr>
        <sz val="10"/>
        <rFont val="WenQuanYi Zen Hei"/>
        <family val="2"/>
      </rPr>
      <t xml:space="preserve">）</t>
    </r>
  </si>
  <si>
    <t xml:space="preserve">https://www.belta.by/economics/view/eaes-poka-ne-gotov-perehodit-na-preferentsialnyj-rezhim-torgovli-s-kitaem-ministr-eek-362135-2019/</t>
  </si>
  <si>
    <t xml:space="preserve">S073</t>
  </si>
  <si>
    <r>
      <rPr>
        <sz val="10"/>
        <rFont val="Arial"/>
        <family val="0"/>
        <charset val="1"/>
      </rPr>
      <t xml:space="preserve">Совет ЕЭК установил норму для беспошлинных покупок на иностранных маркетплейсах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2026-01</t>
    </r>
    <r>
      <rPr>
        <sz val="10"/>
        <rFont val="WenQuanYi Zen Hei"/>
        <family val="2"/>
      </rPr>
      <t xml:space="preserve">）</t>
    </r>
  </si>
  <si>
    <t xml:space="preserve">https://belta.by/economics/view/sovet-eek-ustanovil-normu-dlja-besposhlinnyh-pokupok-na-inostrannyh-marketplejsah-na-kakuju-summu-758455-2026/</t>
  </si>
  <si>
    <t xml:space="preserve">S074</t>
  </si>
  <si>
    <r>
      <rPr>
        <sz val="10"/>
        <rFont val="Arial"/>
        <family val="0"/>
        <charset val="1"/>
      </rPr>
      <t xml:space="preserve">В Беларуси с 29 апреля меняются ставки утилизационного сбора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2026-04</t>
    </r>
    <r>
      <rPr>
        <sz val="10"/>
        <rFont val="WenQuanYi Zen Hei"/>
        <family val="2"/>
      </rPr>
      <t xml:space="preserve">）</t>
    </r>
  </si>
  <si>
    <t xml:space="preserve">https://belta.by/economics/view/v-belarusi-s-29-aprelja-menjajutsja-stavki-utilizatsionnogo-sbora-777593-2026/</t>
  </si>
  <si>
    <r>
      <rPr>
        <sz val="10"/>
        <rFont val="Arial"/>
        <family val="0"/>
        <charset val="1"/>
      </rPr>
      <t xml:space="preserve">Квота по беспошлинному ввозу физлицами электромобилей исчерпана – ГТК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2026-09</t>
    </r>
    <r>
      <rPr>
        <sz val="10"/>
        <rFont val="WenQuanYi Zen Hei"/>
        <family val="2"/>
      </rPr>
      <t xml:space="preserve">）</t>
    </r>
  </si>
  <si>
    <t xml:space="preserve">https://belta.by/society/view/kvota-po-besposhlinnomu-vvozu-fizlitsami-elektromobilej-ischerpana-gtk-799565-2026/</t>
  </si>
  <si>
    <t xml:space="preserve">S076</t>
  </si>
  <si>
    <r>
      <rPr>
        <sz val="10"/>
        <rFont val="Arial"/>
        <family val="0"/>
        <charset val="1"/>
      </rPr>
      <t xml:space="preserve">ГТК: квота по беспошлинному ввозу юрлицами электромобилей исчерпана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）</t>
    </r>
  </si>
  <si>
    <t xml:space="preserve">https://belta.by/society/view/gtk-kvota-po-besposhlinnomu-vvozu-jurlitsami-elektromobilej-ischerpana-792788-2026/</t>
  </si>
  <si>
    <t xml:space="preserve">S077</t>
  </si>
  <si>
    <t xml:space="preserve">С 2026 года – всё по-новому: таможня и НДС. Гибриды REEV при ввозе физлицами</t>
  </si>
  <si>
    <t xml:space="preserve">https://belta.by/society/view/s-2026-goda-vse-po-novomu-tamozhnja-i-nds-na-skolko-podorozhajut-gibridy-reev-pri-vvoze-fizlitsami-755694-2025/</t>
  </si>
  <si>
    <r>
      <rPr>
        <sz val="10"/>
        <rFont val="Arial"/>
        <family val="0"/>
        <charset val="1"/>
      </rPr>
      <t xml:space="preserve">В Беларуси снижаются экспортные пошлины на сжиженные углеводородные газы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）</t>
    </r>
  </si>
  <si>
    <t xml:space="preserve">https://belta.by/economics/view/v-belarusi-snizhajutsja-eksportnye-poshliny-na-szhizhennye-uglevodorodnye-gazy-785561-2026/</t>
  </si>
  <si>
    <t xml:space="preserve">S079</t>
  </si>
  <si>
    <t xml:space="preserve">Беларусь продлила запрет на ввоз отдельных товаров из недружественных стран до конца 2027 года</t>
  </si>
  <si>
    <t xml:space="preserve">https://belta.by/society/view/belarus-prodlila-zapret-na-vvoz-otdelnyh-tovarov-iz-nedruzhestvennyh-stran-do-kontsa-2027-goda-756905-2025/</t>
  </si>
  <si>
    <r>
      <rPr>
        <sz val="10"/>
        <rFont val="Arial"/>
        <family val="0"/>
        <charset val="1"/>
      </rPr>
      <t xml:space="preserve">Беларусь с 1 января в ответ на санкции вводит продовольственное эмбарго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2021</t>
    </r>
    <r>
      <rPr>
        <sz val="10"/>
        <rFont val="WenQuanYi Zen Hei"/>
        <family val="2"/>
      </rPr>
      <t xml:space="preserve">）</t>
    </r>
  </si>
  <si>
    <t xml:space="preserve">https://belta.by/politics/view/stali-izvestny-podrobnosti-o-merah-belarusi-v-otvet-na-sanktsii-zapada-473625-2021/</t>
  </si>
  <si>
    <t xml:space="preserve">S081</t>
  </si>
  <si>
    <r>
      <rPr>
        <sz val="10"/>
        <rFont val="Arial"/>
        <family val="0"/>
        <charset val="1"/>
      </rPr>
      <t xml:space="preserve">Беларусь ввела ответные меры на недружественные действия Литвы по закрытию пунктов пропуска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2024</t>
    </r>
    <r>
      <rPr>
        <sz val="10"/>
        <rFont val="WenQuanYi Zen Hei"/>
        <family val="2"/>
      </rPr>
      <t xml:space="preserve">）</t>
    </r>
  </si>
  <si>
    <t xml:space="preserve">https://www.belta.by/society/view/belarus-vvela-otvetnye-mery-na-nedruzhestvennye-dejstvija-litvy-po-zakrytiju-punktov-propuska-621423-2024</t>
  </si>
  <si>
    <r>
      <rPr>
        <sz val="10"/>
        <rFont val="Arial"/>
        <family val="0"/>
        <charset val="1"/>
      </rPr>
      <t xml:space="preserve">BelTA</t>
    </r>
    <r>
      <rPr>
        <sz val="10"/>
        <rFont val="WenQuanYi Zen Hei"/>
        <family val="2"/>
      </rPr>
      <t xml:space="preserve">（英文版）</t>
    </r>
  </si>
  <si>
    <r>
      <rPr>
        <sz val="10"/>
        <rFont val="Arial"/>
        <family val="0"/>
        <charset val="1"/>
      </rPr>
      <t xml:space="preserve">EAEU-UAE economic partnership agreement to enter into force on 6 October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）</t>
    </r>
  </si>
  <si>
    <t xml:space="preserve">https://eng.belta.by/economics/view/eaeu-uae-economic-partnership-agreement-to-enter-into-force-on-6-october-184247-2026/</t>
  </si>
  <si>
    <r>
      <rPr>
        <sz val="10"/>
        <rFont val="Arial"/>
        <family val="0"/>
        <charset val="1"/>
      </rPr>
      <t xml:space="preserve">Временное торговое соглашение между ЕАЭС и Монголией вступило в силу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）</t>
    </r>
  </si>
  <si>
    <t xml:space="preserve">https://belta.by/economics/view/snizhenie-poshlin-na-90-tovarooborota-vremennoe-torgovoe-soglashenie-mezhdu-eaes-i-mongoliej-vstupilo-792377-2026/</t>
  </si>
  <si>
    <t xml:space="preserve">S084</t>
  </si>
  <si>
    <r>
      <rPr>
        <sz val="10"/>
        <rFont val="Arial"/>
        <family val="0"/>
        <charset val="1"/>
      </rPr>
      <t xml:space="preserve">Беларусь ратифицировала соглашение о свободной торговле между ЕАЭС и Индонезией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）</t>
    </r>
  </si>
  <si>
    <t xml:space="preserve">https://belta.by/president/view/belarus-ratifitsirovala-soglashenie-o-svobodnoj-torgovle-mezhdu-eaes-i-indoneziej-781973-2026/</t>
  </si>
  <si>
    <t xml:space="preserve">Соглашение ЕАЭС–Индонезия может вступить в силу до конца 2026 года</t>
  </si>
  <si>
    <t xml:space="preserve">https://belta.by/economics/view/soglashenie-o-svobodnoj-torgovle-mezhdu-eaes-i-indoneziej-mozhet-vstupit-v-silu-do-kontsa-2026-goda-801437-2026/</t>
  </si>
  <si>
    <r>
      <rPr>
        <sz val="10"/>
        <rFont val="Arial"/>
        <family val="0"/>
        <charset val="1"/>
      </rPr>
      <t xml:space="preserve">ЕЭК обнулила ввозную таможенную пошлину на марганцевые руды и концентраты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）</t>
    </r>
  </si>
  <si>
    <t xml:space="preserve">https://belta.by/economics/view/eek-obnulila-vvoznuju-tamozhennuju-poshlinu-na-margantsevye-rudy-i-kontsentraty-795497-2026</t>
  </si>
  <si>
    <r>
      <rPr>
        <sz val="10"/>
        <rFont val="Arial"/>
        <family val="0"/>
        <charset val="1"/>
      </rPr>
      <t xml:space="preserve">ЕЭК установила нулевую пошлину на ввоз в ЕАЭС отходов и лома титана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）</t>
    </r>
  </si>
  <si>
    <t xml:space="preserve">https://belta.by/economics/view/eek-ustanovila-nulevuju-poshlinu-na-vvoz-v-eaes-othodov-i-loma-titana-795500-2026/</t>
  </si>
  <si>
    <r>
      <rPr>
        <sz val="10"/>
        <rFont val="Arial"/>
        <family val="0"/>
        <charset val="1"/>
      </rPr>
      <t xml:space="preserve">ЕЭК обнулила ввозную пошлину на ферросплав для металлургии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）</t>
    </r>
  </si>
  <si>
    <t xml:space="preserve">https://belta.by/economics/view/eek-obnulila-vvoznuju-poshlinu-na-ferrosplav-dlja-metallurgii-759978-2026/</t>
  </si>
  <si>
    <r>
      <rPr>
        <sz val="10"/>
        <rFont val="Arial"/>
        <family val="0"/>
        <charset val="1"/>
      </rPr>
      <t xml:space="preserve">Совет ЕЭК временно обнулил пошлины на сульфиды натрия и эфиры целлюлозы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2025</t>
    </r>
    <r>
      <rPr>
        <sz val="10"/>
        <rFont val="WenQuanYi Zen Hei"/>
        <family val="2"/>
      </rPr>
      <t xml:space="preserve">）</t>
    </r>
  </si>
  <si>
    <t xml:space="preserve">https://belta.by/economics/view/sovet-eek-vremenno-obnulil-poshliny-na-vvoz-v-eaes-na-sulfidy-natrija-i-efiry-tselljulozy-729643-2025/</t>
  </si>
  <si>
    <t xml:space="preserve">S090</t>
  </si>
  <si>
    <r>
      <rPr>
        <sz val="10"/>
        <rFont val="Arial"/>
        <family val="0"/>
        <charset val="1"/>
      </rPr>
      <t xml:space="preserve">В Беларуси расширен перечень технологического оборудования, освобождаемого от ввозного НДС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）</t>
    </r>
  </si>
  <si>
    <t xml:space="preserve">https://belta.by/economics/view/v-belarusi-rasshiren-perechen-tehnologicheskogo-oborudovanija-osvobozhdaemogo-ot-vvoznogo-nds-763058-2026/</t>
  </si>
  <si>
    <t xml:space="preserve">S091</t>
  </si>
  <si>
    <r>
      <rPr>
        <sz val="10"/>
        <rFont val="Arial"/>
        <family val="0"/>
        <charset val="1"/>
      </rPr>
      <t xml:space="preserve">ЕЭК продлила на 5 лет пошлину на ввоз из Китая листовых рессор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）</t>
    </r>
  </si>
  <si>
    <t xml:space="preserve">https://belta.by/economics/view/eek-prodlila-na-5-let-poshlinu-na-vvoz-v-eaes-iz-kitaja-listovyh-ressor-797678-2026/</t>
  </si>
  <si>
    <t xml:space="preserve">S092</t>
  </si>
  <si>
    <r>
      <rPr>
        <sz val="10"/>
        <rFont val="Arial"/>
        <family val="0"/>
        <charset val="1"/>
      </rPr>
      <t xml:space="preserve">Продлено действие антидемпинговой пошлины на китайские листовые рессоры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）</t>
    </r>
  </si>
  <si>
    <t xml:space="preserve">https://belta.by/society/view/prodleno-dejstvie-antidempingovoj-poshliny-na-vvoz-v-eaes-kitajskih-listovyh-ressor-764922-2026/</t>
  </si>
  <si>
    <r>
      <rPr>
        <sz val="10"/>
        <rFont val="Arial"/>
        <family val="0"/>
        <charset val="1"/>
      </rPr>
      <t xml:space="preserve">ЕЭК продлила на пять лет антидемпинговую пошлину на китайские нержавеющие трубы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）</t>
    </r>
  </si>
  <si>
    <t xml:space="preserve">https://belta.by/economics/view/eek-prodlila-na-pjat-let-antidempingovuju-poshlinu-na-kitajskie-nerzhavejuschie-truby-799973-2026</t>
  </si>
  <si>
    <t xml:space="preserve">S094</t>
  </si>
  <si>
    <r>
      <rPr>
        <sz val="10"/>
        <rFont val="Arial"/>
        <family val="0"/>
        <charset val="1"/>
      </rPr>
      <t xml:space="preserve">ЕЭК временно приостановила антидемпинговую меру в отношении диоксида титана из КНР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）</t>
    </r>
  </si>
  <si>
    <t xml:space="preserve">https://belta.by/economics/view/eek-vremenno-priostanovila-antidempingovuju-meru-v-otnoshenii-dioksida-titana-iz-knr-802031-2026/</t>
  </si>
  <si>
    <r>
      <rPr>
        <sz val="10"/>
        <rFont val="Arial"/>
        <family val="0"/>
        <charset val="1"/>
      </rPr>
      <t xml:space="preserve">ЕЭК утвердила параметры антидемпинговой меры в отношении графитированных электродов из КНР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2025</t>
    </r>
    <r>
      <rPr>
        <sz val="10"/>
        <rFont val="WenQuanYi Zen Hei"/>
        <family val="2"/>
      </rPr>
      <t xml:space="preserve">）</t>
    </r>
  </si>
  <si>
    <t xml:space="preserve">https://belta.by/economics/view/eek-utverdila-parametry-antidempingovoj-mery-v-otnoshenii-grafitirovannyh-elektrodov-iz-knr-754405-2025/</t>
  </si>
  <si>
    <r>
      <rPr>
        <sz val="10"/>
        <rFont val="Arial"/>
        <family val="0"/>
        <charset val="1"/>
      </rPr>
      <t xml:space="preserve">Антидемпинговая пошлина на колесные диски из Японии, Таиланда, Турции и Малайзии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2025</t>
    </r>
    <r>
      <rPr>
        <sz val="10"/>
        <rFont val="WenQuanYi Zen Hei"/>
        <family val="2"/>
      </rPr>
      <t xml:space="preserve">）</t>
    </r>
  </si>
  <si>
    <t xml:space="preserve">https://belta.by/society/view/antidempingovaja-poshlina-na-kolesnye-diski-iz-japonii-tailanda-turtsii-i-malajzii-vvoditsja-v-eaes-688687-2025/</t>
  </si>
  <si>
    <t xml:space="preserve">S097</t>
  </si>
  <si>
    <r>
      <rPr>
        <sz val="10"/>
        <rFont val="Arial"/>
        <family val="0"/>
        <charset val="1"/>
      </rPr>
      <t xml:space="preserve">EU's decision to increase tariffs on Belarusian goods described as blatant trade protectionism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2025</t>
    </r>
    <r>
      <rPr>
        <sz val="10"/>
        <rFont val="WenQuanYi Zen Hei"/>
        <family val="2"/>
      </rPr>
      <t xml:space="preserve">）</t>
    </r>
  </si>
  <si>
    <t xml:space="preserve">https://eng.belta.by/politics/view/eus-decision-to-increase-tariffs-on-belarusian-goods-described-as-blatant-trade-protectionism-168282-2025</t>
  </si>
  <si>
    <r>
      <rPr>
        <sz val="10"/>
        <rFont val="Arial"/>
        <family val="0"/>
        <charset val="1"/>
      </rPr>
      <t xml:space="preserve">As Middle East war triggers fertilizer race, EU looks toward Belarus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）</t>
    </r>
  </si>
  <si>
    <t xml:space="preserve">https://eng.belta.by/politics/view/bread-is-life-as-middle-east-war-triggers-fertilizer-race-eu-looks-toward-belarus-178077-2026/</t>
  </si>
  <si>
    <r>
      <rPr>
        <sz val="10"/>
        <rFont val="Arial"/>
        <family val="0"/>
        <charset val="1"/>
      </rPr>
      <t xml:space="preserve">США снимают санкции с двух белорусских банков и Минфина. Окончательно решен вопрос по калию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）</t>
    </r>
  </si>
  <si>
    <t xml:space="preserve">https://belta.by/economics/view/ssha-snimajut-sanktsii-s-dvuh-belorusskih-bankov-i-minfina-okonchatelno-reshen-vopros-po-kaliju-770657-2026/</t>
  </si>
  <si>
    <r>
      <rPr>
        <sz val="10"/>
        <rFont val="Arial"/>
        <family val="0"/>
        <charset val="1"/>
      </rPr>
      <t xml:space="preserve">Коул: США снимают санкции с белорусского калия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2025-12</t>
    </r>
    <r>
      <rPr>
        <sz val="10"/>
        <rFont val="WenQuanYi Zen Hei"/>
        <family val="2"/>
      </rPr>
      <t xml:space="preserve">）</t>
    </r>
  </si>
  <si>
    <t xml:space="preserve">https://belta.by/economics/view/koul-ssha-snimajut-sanktsii-s-belorusskogo-kalija-754015-2025/</t>
  </si>
  <si>
    <r>
      <rPr>
        <sz val="10"/>
        <rFont val="Arial"/>
        <family val="0"/>
        <charset val="1"/>
      </rPr>
      <t xml:space="preserve">США сняли санкции с "Белавиа"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2025</t>
    </r>
    <r>
      <rPr>
        <sz val="10"/>
        <rFont val="WenQuanYi Zen Hei"/>
        <family val="2"/>
      </rPr>
      <t xml:space="preserve">）</t>
    </r>
  </si>
  <si>
    <t xml:space="preserve">https://belta.by/president/view/ssha-snjali-sanktsii-s-belavia-736730-2025/</t>
  </si>
  <si>
    <t xml:space="preserve">S102</t>
  </si>
  <si>
    <r>
      <rPr>
        <sz val="10"/>
        <rFont val="Arial"/>
        <family val="0"/>
        <charset val="1"/>
      </rPr>
      <t xml:space="preserve">FM: Russia, China, UAE are Belarus' top three trading partners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2025</t>
    </r>
    <r>
      <rPr>
        <sz val="10"/>
        <rFont val="WenQuanYi Zen Hei"/>
        <family val="2"/>
      </rPr>
      <t xml:space="preserve">）</t>
    </r>
  </si>
  <si>
    <t xml:space="preserve">https://eng.belta.by/politics/view/fm-russia-china-and-the-uae-are-belarus-top-three-trading-partners-166165-2025/</t>
  </si>
  <si>
    <t xml:space="preserve">S103</t>
  </si>
  <si>
    <t xml:space="preserve">白俄罗斯驻华使馆</t>
  </si>
  <si>
    <r>
      <rPr>
        <sz val="10"/>
        <rFont val="Arial"/>
        <family val="0"/>
        <charset val="1"/>
      </rPr>
      <t xml:space="preserve">Торгово-экономическое сотрудничество</t>
    </r>
    <r>
      <rPr>
        <sz val="10"/>
        <rFont val="WenQuanYi Zen Hei"/>
        <family val="2"/>
      </rPr>
      <t xml:space="preserve">（中白经贸合作）</t>
    </r>
  </si>
  <si>
    <r>
      <rPr>
        <sz val="10"/>
        <rFont val="WenQuanYi Zen Hei"/>
        <family val="2"/>
      </rPr>
      <t xml:space="preserve">二级：白俄驻外使馆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园区官网</t>
    </r>
  </si>
  <si>
    <t xml:space="preserve">https://china.mfa.gov.by/ru/bilateral/trade/</t>
  </si>
  <si>
    <t xml:space="preserve">S104</t>
  </si>
  <si>
    <t xml:space="preserve">白俄罗斯驻乌兹别克斯坦使馆</t>
  </si>
  <si>
    <r>
      <rPr>
        <sz val="10"/>
        <rFont val="Arial"/>
        <family val="0"/>
        <charset val="1"/>
      </rPr>
      <t xml:space="preserve">Условия доступа товаров на рынок Узбекистана</t>
    </r>
    <r>
      <rPr>
        <sz val="10"/>
        <rFont val="WenQuanYi Zen Hei"/>
        <family val="2"/>
      </rPr>
      <t xml:space="preserve">（乌兹别克斯坦市场准入）</t>
    </r>
  </si>
  <si>
    <t xml:space="preserve">https://uzbekistan.mfa.gov.by/ru/exportby/tarif/</t>
  </si>
  <si>
    <t xml:space="preserve">中白工业园“巨石”官网</t>
  </si>
  <si>
    <r>
      <rPr>
        <sz val="10"/>
        <rFont val="Arial"/>
        <family val="0"/>
        <charset val="1"/>
      </rPr>
      <t xml:space="preserve">Преимущества индустриального парка «Великий камень»</t>
    </r>
    <r>
      <rPr>
        <sz val="10"/>
        <rFont val="WenQuanYi Zen Hei"/>
        <family val="2"/>
      </rPr>
      <t xml:space="preserve">（园区优势）</t>
    </r>
  </si>
  <si>
    <t xml:space="preserve">https://industrialpark.by/investoram/preimushchestva-parka/</t>
  </si>
  <si>
    <t xml:space="preserve">S106</t>
  </si>
  <si>
    <r>
      <rPr>
        <sz val="10"/>
        <rFont val="WenQuanYi Zen Hei"/>
        <family val="2"/>
      </rPr>
      <t xml:space="preserve">世界贸易组织</t>
    </r>
    <r>
      <rPr>
        <sz val="10"/>
        <rFont val="Arial"/>
        <family val="0"/>
        <charset val="1"/>
      </rPr>
      <t xml:space="preserve">(WTO)</t>
    </r>
  </si>
  <si>
    <r>
      <rPr>
        <sz val="10"/>
        <rFont val="Arial"/>
        <family val="0"/>
        <charset val="1"/>
      </rPr>
      <t xml:space="preserve">Tariff profile: Russian Federation</t>
    </r>
    <r>
      <rPr>
        <sz val="10"/>
        <rFont val="WenQuanYi Zen Hei"/>
        <family val="2"/>
      </rPr>
      <t xml:space="preserve">（俄罗斯关税概况）</t>
    </r>
  </si>
  <si>
    <r>
      <rPr>
        <sz val="10"/>
        <rFont val="WenQuanYi Zen Hei"/>
        <family val="2"/>
      </rPr>
      <t xml:space="preserve">三级：国际组织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外国政府</t>
    </r>
  </si>
  <si>
    <t xml:space="preserve">https://www.wto.org/english/res_e/statis_e/daily_update_e/tariff_profiles/RU_E.pdf</t>
  </si>
  <si>
    <t xml:space="preserve">S107</t>
  </si>
  <si>
    <t xml:space="preserve">World Tariff Profiles 2025</t>
  </si>
  <si>
    <t xml:space="preserve">https://www.wto.org/english/res_e/booksp_e/world_tariff_profiles25_e.pdf</t>
  </si>
  <si>
    <t xml:space="preserve">S108</t>
  </si>
  <si>
    <r>
      <rPr>
        <sz val="10"/>
        <rFont val="Arial"/>
        <family val="0"/>
        <charset val="1"/>
      </rPr>
      <t xml:space="preserve">Accession: Belarus</t>
    </r>
    <r>
      <rPr>
        <sz val="10"/>
        <rFont val="WenQuanYi Zen Hei"/>
        <family val="2"/>
      </rPr>
      <t xml:space="preserve">（白俄入世进程）</t>
    </r>
  </si>
  <si>
    <t xml:space="preserve">https://www.wto.org/english/thewto_e/acc_e/a1_belarus_e.htm</t>
  </si>
  <si>
    <t xml:space="preserve">加拿大政府</t>
  </si>
  <si>
    <r>
      <rPr>
        <sz val="10"/>
        <rFont val="Arial"/>
        <family val="0"/>
        <charset val="1"/>
      </rPr>
      <t xml:space="preserve">Joint Statement Regarding the Application from Belarus for Accession to the WTO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2022-03-28</t>
    </r>
    <r>
      <rPr>
        <sz val="10"/>
        <rFont val="WenQuanYi Zen Hei"/>
        <family val="2"/>
      </rPr>
      <t xml:space="preserve">）</t>
    </r>
  </si>
  <si>
    <t xml:space="preserve">https://www.international.gc.ca/world-monde/international_relations-relations_internationales/wto-omc/news-nouvelles/2022-03-28-statement-belarus-declaration.aspx?lang=eng</t>
  </si>
  <si>
    <t xml:space="preserve">S110</t>
  </si>
  <si>
    <r>
      <rPr>
        <sz val="10"/>
        <rFont val="WenQuanYi Zen Hei"/>
        <family val="2"/>
      </rPr>
      <t xml:space="preserve">世界银行 </t>
    </r>
    <r>
      <rPr>
        <sz val="10"/>
        <rFont val="Arial"/>
        <family val="0"/>
        <charset val="1"/>
      </rPr>
      <t xml:space="preserve">WITS</t>
    </r>
  </si>
  <si>
    <t xml:space="preserve">Russian Federation Trade Summary 2024</t>
  </si>
  <si>
    <t xml:space="preserve">https://wits.worldbank.org/CountryProfile/en/Country/RUS/Year/2024/Summarytext</t>
  </si>
  <si>
    <t xml:space="preserve">S111</t>
  </si>
  <si>
    <r>
      <rPr>
        <sz val="10"/>
        <rFont val="WenQuanYi Zen Hei"/>
        <family val="2"/>
      </rPr>
      <t xml:space="preserve">欧盟委员会 </t>
    </r>
    <r>
      <rPr>
        <sz val="10"/>
        <rFont val="Arial"/>
        <family val="0"/>
        <charset val="1"/>
      </rPr>
      <t xml:space="preserve">Access2Markets</t>
    </r>
  </si>
  <si>
    <t xml:space="preserve">EU increases tariff duties on Russian and Belarusian imports of agricultural products and fertilizers</t>
  </si>
  <si>
    <t xml:space="preserve">https://trade.ec.europa.eu/access-to-markets/en/news/eu-increases-tariff-duties-russian-and-belarusian-imports-agricultural-products-and-fertilizers</t>
  </si>
  <si>
    <t xml:space="preserve">欧盟理事会</t>
  </si>
  <si>
    <r>
      <rPr>
        <sz val="10"/>
        <rFont val="Arial"/>
        <family val="0"/>
        <charset val="1"/>
      </rPr>
      <t xml:space="preserve">Trade: EU adopts new tariffs on Russian and Belarusian agricultural goods and fertilisers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2025-06-12</t>
    </r>
    <r>
      <rPr>
        <sz val="10"/>
        <rFont val="WenQuanYi Zen Hei"/>
        <family val="2"/>
      </rPr>
      <t xml:space="preserve">）</t>
    </r>
  </si>
  <si>
    <t xml:space="preserve">https://www.consilium.europa.eu/en/press/press-releases/2025/06/12/trade-eu-adopts-new-tariffs-on-russian-and-belarusian-agricultural-goods-and-fertilisers/</t>
  </si>
  <si>
    <t xml:space="preserve">美国国会</t>
  </si>
  <si>
    <t xml:space="preserve">H.R.7108 – Suspending Normal Trade Relations with Russia and Belarus Act</t>
  </si>
  <si>
    <t xml:space="preserve">https://www.congress.gov/bill/117th-congress/house-bill/7108</t>
  </si>
  <si>
    <t xml:space="preserve">S114</t>
  </si>
  <si>
    <t xml:space="preserve">美国国会图书馆</t>
  </si>
  <si>
    <r>
      <rPr>
        <sz val="10"/>
        <rFont val="Arial"/>
        <family val="0"/>
        <charset val="1"/>
      </rPr>
      <t xml:space="preserve">Legislation Enacted Suspending Permanent and Normal Trade Relations with Russia and Belarus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2022-04-22</t>
    </r>
    <r>
      <rPr>
        <sz val="10"/>
        <rFont val="WenQuanYi Zen Hei"/>
        <family val="2"/>
      </rPr>
      <t xml:space="preserve">）</t>
    </r>
  </si>
  <si>
    <t xml:space="preserve">https://www.loc.gov/item/global-legal-monitor/2022-04-22/united-states-legislation-enacted-suspending-permanent-and-normal-trade-relations-with-russian-federation-and-belarus/</t>
  </si>
  <si>
    <t xml:space="preserve">S115</t>
  </si>
  <si>
    <t xml:space="preserve">Interfax</t>
  </si>
  <si>
    <t xml:space="preserve">Belarus urges WTO to revisit accession procedure</t>
  </si>
  <si>
    <r>
      <rPr>
        <sz val="10"/>
        <rFont val="WenQuanYi Zen Hei"/>
        <family val="2"/>
      </rPr>
      <t xml:space="preserve">四级：第三方研究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媒体</t>
    </r>
  </si>
  <si>
    <t xml:space="preserve">https://interfax.com/newsroom/top-stories/99871/</t>
  </si>
  <si>
    <t xml:space="preserve">S116</t>
  </si>
  <si>
    <t xml:space="preserve">Bertelsmann Stiftung</t>
  </si>
  <si>
    <t xml:space="preserve">BTI 2026 Belarus Country Report</t>
  </si>
  <si>
    <t xml:space="preserve">https://bti-project.org/en/reports/country-report/BLR</t>
  </si>
  <si>
    <t xml:space="preserve">S117</t>
  </si>
  <si>
    <t xml:space="preserve">Lexology</t>
  </si>
  <si>
    <t xml:space="preserve">Snapshot: customs duties in Eurasia</t>
  </si>
  <si>
    <t xml:space="preserve">https://www.lexology.com/library/detail.aspx?g=7128b051-393f-4a47-a0ac-a9edeb104838</t>
  </si>
  <si>
    <t xml:space="preserve">S118</t>
  </si>
  <si>
    <r>
      <rPr>
        <sz val="10"/>
        <rFont val="Arial"/>
        <family val="0"/>
        <charset val="1"/>
      </rPr>
      <t xml:space="preserve">Anderinger</t>
    </r>
    <r>
      <rPr>
        <sz val="10"/>
        <rFont val="WenQuanYi Zen Hei"/>
        <family val="2"/>
      </rPr>
      <t xml:space="preserve">（美国报关行）</t>
    </r>
  </si>
  <si>
    <t xml:space="preserve">Russia &amp; Belarus Lose Normal Trade Relation Status with the U.S.</t>
  </si>
  <si>
    <t xml:space="preserve">https://www.anderinger.com/russia-belarus-lose-normal-trade-relation-status-with-the-u-s/</t>
  </si>
  <si>
    <t xml:space="preserve">Альта-Софт (alta.ru)</t>
  </si>
  <si>
    <r>
      <rPr>
        <sz val="10"/>
        <rFont val="Arial"/>
        <family val="0"/>
        <charset val="1"/>
      </rPr>
      <t xml:space="preserve">ТН ВЭД ЕАЭС </t>
    </r>
    <r>
      <rPr>
        <sz val="10"/>
        <rFont val="WenQuanYi Zen Hei"/>
        <family val="2"/>
      </rPr>
      <t xml:space="preserve">在线税则库（各编码页面见“商品税率样例”）</t>
    </r>
  </si>
  <si>
    <t xml:space="preserve">四级：第三方专业数据库（俄）</t>
  </si>
  <si>
    <t xml:space="preserve">https://www.alta.ru/tnved/</t>
  </si>
  <si>
    <t xml:space="preserve">S120</t>
  </si>
  <si>
    <t xml:space="preserve">TKS.RU</t>
  </si>
  <si>
    <t xml:space="preserve">ТН ВЭД ЕАЭС, коды ТНВЭД, ставки пошлин</t>
  </si>
  <si>
    <t xml:space="preserve">https://www.tks.ru/db/tnved/tree/</t>
  </si>
  <si>
    <t xml:space="preserve">按来源层级统计</t>
  </si>
  <si>
    <t xml:space="preserve">白俄来源（一、二级）合计</t>
  </si>
  <si>
    <t xml:space="preserve">白俄来源占比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</si>
</sst>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;\-0.0%;0.0%"/>
    <numFmt numFmtId="166" formatCode="0.0%"/>
    <numFmt numFmtId="167" formatCode="0%"/>
    <numFmt numFmtId="168" formatCode="#,##0.00"/>
    <numFmt numFmtId="169" formatCode="0.00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2"/>
    </font>
    <font>
      <sz val="11"/>
      <color theme="1"/>
      <name val="Arial"/>
      <family val="0"/>
      <charset val="1"/>
    </font>
    <font>
      <i val="true"/>
      <sz val="9"/>
      <color rgb="FF595959"/>
      <name val="Arial"/>
      <family val="2"/>
    </font>
    <font>
      <i val="true"/>
      <sz val="9"/>
      <color rgb="FF595959"/>
      <name val="Arial"/>
      <family val="0"/>
      <charset val="1"/>
    </font>
    <font>
      <b val="true"/>
      <sz val="11"/>
      <color rgb="FF1F4E78"/>
      <name val="Arial"/>
      <family val="2"/>
    </font>
    <font>
      <sz val="10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2"/>
    </font>
    <font>
      <u val="single"/>
      <sz val="10"/>
      <color rgb="FF0563C1"/>
      <name val="Arial"/>
      <family val="2"/>
    </font>
    <font>
      <b val="true"/>
      <sz val="10"/>
      <name val="Arial"/>
      <family val="2"/>
    </font>
    <font>
      <b val="true"/>
      <sz val="16"/>
      <color rgb="FF1F4E78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i val="true"/>
      <sz val="10"/>
      <color rgb="FF7F7F7F"/>
      <name val="Arial"/>
      <family val="2"/>
    </font>
    <font>
      <sz val="10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pravo.by/novosti/obshchestvenno-politicheskie-i-v-oblasti-prava/2025/october/90569/" TargetMode="External"/><Relationship Id="rId2" Type="http://schemas.openxmlformats.org/officeDocument/2006/relationships/hyperlink" Target="https://www.customs.gov.by/news/ob-ustanovlenii-lgot-v-otnoshenii-elektromobiley-na-2026-god/" TargetMode="External"/><Relationship Id="rId3" Type="http://schemas.openxmlformats.org/officeDocument/2006/relationships/hyperlink" Target="https://pravo.by/novosti/obshchestvenno-politicheskie-i-v-oblasti-prava/2026/february/92131/" TargetMode="External"/><Relationship Id="rId4" Type="http://schemas.openxmlformats.org/officeDocument/2006/relationships/hyperlink" Target="https://www.alta.ru/tnved/code/8517130000/" TargetMode="External"/><Relationship Id="rId5" Type="http://schemas.openxmlformats.org/officeDocument/2006/relationships/hyperlink" Target="https://www.alta.ru/tnved/code/8471300000/" TargetMode="External"/><Relationship Id="rId6" Type="http://schemas.openxmlformats.org/officeDocument/2006/relationships/hyperlink" Target="https://www.alta.ru/tnved/code/8528721000/" TargetMode="External"/><Relationship Id="rId7" Type="http://schemas.openxmlformats.org/officeDocument/2006/relationships/hyperlink" Target="https://www.alta.ru/tnved/code/8418102001/" TargetMode="External"/><Relationship Id="rId8" Type="http://schemas.openxmlformats.org/officeDocument/2006/relationships/hyperlink" Target="https://www.alta.ru/tnved/code/8415109000/" TargetMode="External"/><Relationship Id="rId9" Type="http://schemas.openxmlformats.org/officeDocument/2006/relationships/hyperlink" Target="https://www.alta.ru/tnved/code/8429521009/" TargetMode="External"/><Relationship Id="rId10" Type="http://schemas.openxmlformats.org/officeDocument/2006/relationships/hyperlink" Target="https://www.alta.ru/tnved/code/9503007000/" TargetMode="External"/><Relationship Id="rId11" Type="http://schemas.openxmlformats.org/officeDocument/2006/relationships/hyperlink" Target="https://www.alta.ru/tnved/code/3304990000/" TargetMode="External"/><Relationship Id="rId12" Type="http://schemas.openxmlformats.org/officeDocument/2006/relationships/hyperlink" Target="https://www.alta.ru/tnved/code/3004900002/" TargetMode="External"/><Relationship Id="rId13" Type="http://schemas.openxmlformats.org/officeDocument/2006/relationships/hyperlink" Target="https://www.alta.ru/tnved/code/8541430000/" TargetMode="External"/><Relationship Id="rId14" Type="http://schemas.openxmlformats.org/officeDocument/2006/relationships/hyperlink" Target="https://www.alta.ru/tnved/code/4011100003/" TargetMode="External"/><Relationship Id="rId15" Type="http://schemas.openxmlformats.org/officeDocument/2006/relationships/hyperlink" Target="https://www.alta.ru/tnved/code/0902300001/" TargetMode="External"/><Relationship Id="rId16" Type="http://schemas.openxmlformats.org/officeDocument/2006/relationships/hyperlink" Target="https://www.alta.ru/tnved/code/0902400000/" TargetMode="External"/><Relationship Id="rId17" Type="http://schemas.openxmlformats.org/officeDocument/2006/relationships/hyperlink" Target="https://www.alta.ru/tnved/code/6109100000/" TargetMode="External"/><Relationship Id="rId18" Type="http://schemas.openxmlformats.org/officeDocument/2006/relationships/hyperlink" Target="https://www.alta.ru/tnved/code/6403190000/" TargetMode="External"/><Relationship Id="rId19" Type="http://schemas.openxmlformats.org/officeDocument/2006/relationships/hyperlink" Target="https://www.alta.ru/tnved/code/9403601001/" TargetMode="External"/><Relationship Id="rId20" Type="http://schemas.openxmlformats.org/officeDocument/2006/relationships/hyperlink" Target="https://pravo.by/novosti/obshchestvenno-politicheskie-i-v-oblasti-prava/2026/maj/93386/" TargetMode="Externa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https://www.mfa.gov.by/export/tariffs/vvoz/" TargetMode="External"/><Relationship Id="rId2" Type="http://schemas.openxmlformats.org/officeDocument/2006/relationships/hyperlink" Target="https://mfa.gov.by/export/tariffs/" TargetMode="External"/><Relationship Id="rId3" Type="http://schemas.openxmlformats.org/officeDocument/2006/relationships/hyperlink" Target="https://mfa.gov.by/export/tariffs/rates/" TargetMode="External"/><Relationship Id="rId4" Type="http://schemas.openxmlformats.org/officeDocument/2006/relationships/hyperlink" Target="https://mfa.gov.by/export/tariffs/rates/up/" TargetMode="External"/><Relationship Id="rId5" Type="http://schemas.openxmlformats.org/officeDocument/2006/relationships/hyperlink" Target="https://www.mfa.gov.by/export/tariffs/preferences/" TargetMode="External"/><Relationship Id="rId6" Type="http://schemas.openxmlformats.org/officeDocument/2006/relationships/hyperlink" Target="https://www.mfa.gov.by/export/tariffs/vyvoz/" TargetMode="External"/><Relationship Id="rId7" Type="http://schemas.openxmlformats.org/officeDocument/2006/relationships/hyperlink" Target="https://www.mfa.gov.by/export/traderegimes/" TargetMode="External"/><Relationship Id="rId8" Type="http://schemas.openxmlformats.org/officeDocument/2006/relationships/hyperlink" Target="https://mfa.gov.by/mulateral/organization/list/f535809e487e0aeb.html" TargetMode="External"/><Relationship Id="rId9" Type="http://schemas.openxmlformats.org/officeDocument/2006/relationships/hyperlink" Target="https://www.mfa.gov.by/en/export/wto/accession/" TargetMode="External"/><Relationship Id="rId10" Type="http://schemas.openxmlformats.org/officeDocument/2006/relationships/hyperlink" Target="https://www.customs.gov.by/tamozhennye-poshliny/vvoznye-tamozhennye-poshliny/" TargetMode="External"/><Relationship Id="rId11" Type="http://schemas.openxmlformats.org/officeDocument/2006/relationships/hyperlink" Target="https://www.customs.gov.by/participants-ved/tarifnoe-regulirovanie-i-tamozhennye-platezhi-vzimaemye-tamozhennymi-organami/tamozhennye-poshliny/" TargetMode="External"/><Relationship Id="rId12" Type="http://schemas.openxmlformats.org/officeDocument/2006/relationships/hyperlink" Target="https://www.customs.gov.by/tamozhennye-poshliny/vyvoznye-tamozhennye-poshliny/" TargetMode="External"/><Relationship Id="rId13" Type="http://schemas.openxmlformats.org/officeDocument/2006/relationships/hyperlink" Target="https://www.customs.gov.by/participants-ved/tarifnoe-regulirovanie-i-tamozhennye-platezhi-vzimaemye-tamozhennymi-organami/tamozhennye-sbory/" TargetMode="External"/><Relationship Id="rId14" Type="http://schemas.openxmlformats.org/officeDocument/2006/relationships/hyperlink" Target="https://www.customs.gov.by/participants-ved/kommentariy-k-zakonu-o-tamozhennom-regulirovanii-v-respublike-belarus/kommentariy-k-zakonu-rb-o-tamozhennom-regulirovanii-v-respubliki-belarus-s-uchetom-izmeneniy-vnesenn/" TargetMode="External"/><Relationship Id="rId15" Type="http://schemas.openxmlformats.org/officeDocument/2006/relationships/hyperlink" Target="https://www.customs.gov.by/calc/" TargetMode="External"/><Relationship Id="rId16" Type="http://schemas.openxmlformats.org/officeDocument/2006/relationships/hyperlink" Target="https://www.customs.gov.by/news/vnimaniyu-fizicheskikh-lits-o-normakh-besposhlinnogo-vvoza-tovarov-dlya-lichnogo-polzovaniya/" TargetMode="External"/><Relationship Id="rId17" Type="http://schemas.openxmlformats.org/officeDocument/2006/relationships/hyperlink" Target="https://www.customs.gov.by/news/limit-besposhlinnogo-vvoza-tovarov-dlya-lichnogo-polzovaniya-v-1-tys-evro-i-31-kg-prodlen-do-1-aprel/" TargetMode="External"/><Relationship Id="rId18" Type="http://schemas.openxmlformats.org/officeDocument/2006/relationships/hyperlink" Target="https://www.customs.gov.by/fizicheskim-litsam/osobennosti-soversheniya-tamozhennykh-operatsiy-v-otnoshenii-tovarov-dlya-lichnogo-polzovaniya-peres/" TargetMode="External"/><Relationship Id="rId19" Type="http://schemas.openxmlformats.org/officeDocument/2006/relationships/hyperlink" Target="https://www.customs.gov.by/participants-ved/biznesmenam/utilizatsionnyy-sbor/" TargetMode="External"/><Relationship Id="rId20" Type="http://schemas.openxmlformats.org/officeDocument/2006/relationships/hyperlink" Target="https://www.customs.gov.by/news/izmenenie-stavok-utilizatsionnogo-sbora-s-10-fevralya-2025-goda/" TargetMode="External"/><Relationship Id="rId21" Type="http://schemas.openxmlformats.org/officeDocument/2006/relationships/hyperlink" Target="https://www.customs.gov.by/news/ob-ustanovlenii-lgot-v-otnoshenii-elektromobiley-na-2026-god/" TargetMode="External"/><Relationship Id="rId22" Type="http://schemas.openxmlformats.org/officeDocument/2006/relationships/hyperlink" Target="https://nalog.gov.by/inspectorates/reference/imns-minsk-region/clarifications/33985" TargetMode="External"/><Relationship Id="rId23" Type="http://schemas.openxmlformats.org/officeDocument/2006/relationships/hyperlink" Target="https://nalog.gov.by/upload/doc/&#1055;&#1077;&#1088;&#1077;&#1095;&#1077;&#1085;&#1100;%20&#1090;&#1086;&#1074;&#1072;&#1088;&#1086;&#1074;.pdf" TargetMode="External"/><Relationship Id="rId24" Type="http://schemas.openxmlformats.org/officeDocument/2006/relationships/hyperlink" Target="https://nalog.gov.by/clarifications/comments/33596/" TargetMode="External"/><Relationship Id="rId25" Type="http://schemas.openxmlformats.org/officeDocument/2006/relationships/hyperlink" Target="https://nalog.gov.by/news/33270/" TargetMode="External"/><Relationship Id="rId26" Type="http://schemas.openxmlformats.org/officeDocument/2006/relationships/hyperlink" Target="https://www.minfin.gov.by/ru/tax_policy/tax_system/doc/12b988b8d25b4048.html" TargetMode="External"/><Relationship Id="rId27" Type="http://schemas.openxmlformats.org/officeDocument/2006/relationships/hyperlink" Target="https://www.minfin.gov.by/ru/tax_policy/tax_system/doc/92aa7b734d3b48a6.html" TargetMode="External"/><Relationship Id="rId28" Type="http://schemas.openxmlformats.org/officeDocument/2006/relationships/hyperlink" Target="https://economy.gov.by/ru/ttn-ru/" TargetMode="External"/><Relationship Id="rId29" Type="http://schemas.openxmlformats.org/officeDocument/2006/relationships/hyperlink" Target="https://pravo.by/document/?guid=3871&amp;p0=f01400176" TargetMode="External"/><Relationship Id="rId30" Type="http://schemas.openxmlformats.org/officeDocument/2006/relationships/hyperlink" Target="https://pravo.by/novosti/obshchestvenno-politicheskie-i-v-oblasti-prava/2018/january/27031/" TargetMode="External"/><Relationship Id="rId31" Type="http://schemas.openxmlformats.org/officeDocument/2006/relationships/hyperlink" Target="https://pravo.by/document/?guid=3871&amp;p0=P30600443" TargetMode="External"/><Relationship Id="rId32" Type="http://schemas.openxmlformats.org/officeDocument/2006/relationships/hyperlink" Target="https://pravo.by/document/?guid=3871&amp;p0=P31000716" TargetMode="External"/><Relationship Id="rId33" Type="http://schemas.openxmlformats.org/officeDocument/2006/relationships/hyperlink" Target="https://pravo.by/novosti/obshchestvenno-politicheskie-i-v-oblasti-prava/2025/maj/88640/" TargetMode="External"/><Relationship Id="rId34" Type="http://schemas.openxmlformats.org/officeDocument/2006/relationships/hyperlink" Target="https://pravo.by/novosti/obshchestvenno-politicheskie-i-v-oblasti-prava/2025/november/91155/" TargetMode="External"/><Relationship Id="rId35" Type="http://schemas.openxmlformats.org/officeDocument/2006/relationships/hyperlink" Target="https://pravo.by/novosti/obshchestvenno-politicheskie-i-v-oblasti-prava/2025/november/91153/" TargetMode="External"/><Relationship Id="rId36" Type="http://schemas.openxmlformats.org/officeDocument/2006/relationships/hyperlink" Target="https://pravo.by/novosti/obshchestvenno-politicheskie-i-v-oblasti-prava/2024/mart/77194/" TargetMode="External"/><Relationship Id="rId37" Type="http://schemas.openxmlformats.org/officeDocument/2006/relationships/hyperlink" Target="https://pravo.by/novosti/obshchestvenno-politicheskie-i-v-oblasti-prava/2026/january/91835/" TargetMode="External"/><Relationship Id="rId38" Type="http://schemas.openxmlformats.org/officeDocument/2006/relationships/hyperlink" Target="https://pravo.by/novosti/obshchestvenno-politicheskie-i-v-oblasti-prava/2026/august/94519/" TargetMode="External"/><Relationship Id="rId39" Type="http://schemas.openxmlformats.org/officeDocument/2006/relationships/hyperlink" Target="https://pravo.by/novosti/obshchestvenno-politicheskie-i-v-oblasti-prava/2025/october/90645/" TargetMode="External"/><Relationship Id="rId40" Type="http://schemas.openxmlformats.org/officeDocument/2006/relationships/hyperlink" Target="https://pravo.by/novosti/obshchestvenno-politicheskie-i-v-oblasti-prava/2025/october/90569/" TargetMode="External"/><Relationship Id="rId41" Type="http://schemas.openxmlformats.org/officeDocument/2006/relationships/hyperlink" Target="https://pravo.by/novosti/obshchestvenno-politicheskie-i-v-oblasti-prava/2026/february/92131/" TargetMode="External"/><Relationship Id="rId42" Type="http://schemas.openxmlformats.org/officeDocument/2006/relationships/hyperlink" Target="https://pravo.by/novosti/obshchestvenno-politicheskie-i-v-oblasti-prava/2026/maj/93389/" TargetMode="External"/><Relationship Id="rId43" Type="http://schemas.openxmlformats.org/officeDocument/2006/relationships/hyperlink" Target="https://pravo.by/novosti/obshchestvenno-politicheskie-i-v-oblasti-prava/2026/april/93202/" TargetMode="External"/><Relationship Id="rId44" Type="http://schemas.openxmlformats.org/officeDocument/2006/relationships/hyperlink" Target="https://pravo.by/novosti/obshchestvenno-politicheskie-i-v-oblasti-prava/2026/january/91745/" TargetMode="External"/><Relationship Id="rId45" Type="http://schemas.openxmlformats.org/officeDocument/2006/relationships/hyperlink" Target="https://pravo.by/novosti/obshchestvenno-politicheskie-i-v-oblasti-prava/2025/november/90979/" TargetMode="External"/><Relationship Id="rId46" Type="http://schemas.openxmlformats.org/officeDocument/2006/relationships/hyperlink" Target="https://pravo.by/novosti/obshchestvenno-politicheskie-i-v-oblasti-prava/2026/maj/93386/" TargetMode="External"/><Relationship Id="rId47" Type="http://schemas.openxmlformats.org/officeDocument/2006/relationships/hyperlink" Target="https://pravo.by/novosti/obshchestvenno-politicheskie-i-v-oblasti-prava/2026/maj/93417/" TargetMode="External"/><Relationship Id="rId48" Type="http://schemas.openxmlformats.org/officeDocument/2006/relationships/hyperlink" Target="https://pravo.by/novosti/novosti-pravo-by/2026/april/93091/" TargetMode="External"/><Relationship Id="rId49" Type="http://schemas.openxmlformats.org/officeDocument/2006/relationships/hyperlink" Target="https://pravo.by/novosti/obshchestvenno-politicheskie-i-v-oblasti-prava/2026/mart/92886/" TargetMode="External"/><Relationship Id="rId50" Type="http://schemas.openxmlformats.org/officeDocument/2006/relationships/hyperlink" Target="https://pravo.by/document/?guid=3871&amp;p0=C22500808" TargetMode="External"/><Relationship Id="rId51" Type="http://schemas.openxmlformats.org/officeDocument/2006/relationships/hyperlink" Target="https://pravo.by/novosti/obshchestvenno-politicheskie-i-v-oblasti-prava/2026/february/92147/" TargetMode="External"/><Relationship Id="rId52" Type="http://schemas.openxmlformats.org/officeDocument/2006/relationships/hyperlink" Target="https://pravo.by/novosti/obshchestvenno-politicheskie-i-v-oblasti-prava/2024/maj/77786/" TargetMode="External"/><Relationship Id="rId53" Type="http://schemas.openxmlformats.org/officeDocument/2006/relationships/hyperlink" Target="https://pravo.by/novosti/obshchestvenno-politicheskie-i-v-oblasti-prava/2026/september/94822/" TargetMode="External"/><Relationship Id="rId54" Type="http://schemas.openxmlformats.org/officeDocument/2006/relationships/hyperlink" Target="https://pravo.by/document/?guid=12551&amp;p0=C22600128" TargetMode="External"/><Relationship Id="rId55" Type="http://schemas.openxmlformats.org/officeDocument/2006/relationships/hyperlink" Target="https://pravo.by/novosti/obshchestvenno-politicheskie-i-v-oblasti-prava/2025/september/89990/" TargetMode="External"/><Relationship Id="rId56" Type="http://schemas.openxmlformats.org/officeDocument/2006/relationships/hyperlink" Target="https://pravo.by/novosti/obshchestvenno-politicheskie-i-v-oblasti-prava/2026/february/92249/" TargetMode="External"/><Relationship Id="rId57" Type="http://schemas.openxmlformats.org/officeDocument/2006/relationships/hyperlink" Target="https://pravo.by/novosti/obshchestvenno-politicheskie-i-v-oblasti-prava/2026/april/92977/" TargetMode="External"/><Relationship Id="rId58" Type="http://schemas.openxmlformats.org/officeDocument/2006/relationships/hyperlink" Target="https://pravo.by/novosti/obshchestvenno-politicheskie-i-v-oblasti-prava/2026/maj/93540/" TargetMode="External"/><Relationship Id="rId59" Type="http://schemas.openxmlformats.org/officeDocument/2006/relationships/hyperlink" Target="https://pravo.by/novosti/obshchestvenno-politicheskie-i-v-oblasti-prava/2025/april/88418/" TargetMode="External"/><Relationship Id="rId60" Type="http://schemas.openxmlformats.org/officeDocument/2006/relationships/hyperlink" Target="https://pravo.by/novosti/obshchestvenno-politicheskie-i-v-oblasti-prava/2025/maj/88715/" TargetMode="External"/><Relationship Id="rId61" Type="http://schemas.openxmlformats.org/officeDocument/2006/relationships/hyperlink" Target="https://pravo.by/novosti/obshchestvenno-politicheskie-i-v-oblasti-prava/2025/december/91332/" TargetMode="External"/><Relationship Id="rId62" Type="http://schemas.openxmlformats.org/officeDocument/2006/relationships/hyperlink" Target="https://pravo.by/novosti/obshchestvenno-politicheskie-i-v-oblasti-prava/2025/december/91549/" TargetMode="External"/><Relationship Id="rId63" Type="http://schemas.openxmlformats.org/officeDocument/2006/relationships/hyperlink" Target="https://pravo.by/document/?guid=3871&amp;p0=N01100083" TargetMode="External"/><Relationship Id="rId64" Type="http://schemas.openxmlformats.org/officeDocument/2006/relationships/hyperlink" Target="https://pravo.by/novosti/obshchestvenno-politicheskie-i-v-oblasti-prava/2025/june/89278/" TargetMode="External"/><Relationship Id="rId65" Type="http://schemas.openxmlformats.org/officeDocument/2006/relationships/hyperlink" Target="https://pravo.by/document/?guid=3871&amp;p0=P31700166" TargetMode="External"/><Relationship Id="rId66" Type="http://schemas.openxmlformats.org/officeDocument/2006/relationships/hyperlink" Target="https://pravo.by/novosti/obshchestvenno-politicheskie-i-v-oblasti-prava/2024/mart/76990/" TargetMode="External"/><Relationship Id="rId67" Type="http://schemas.openxmlformats.org/officeDocument/2006/relationships/hyperlink" Target="https://pravo.by/novosti/obshchestvenno-politicheskie-i-v-oblasti-prava/2025/december/91191/" TargetMode="External"/><Relationship Id="rId68" Type="http://schemas.openxmlformats.org/officeDocument/2006/relationships/hyperlink" Target="https://pravo.by/document/?guid=3871&amp;p0=F92500257" TargetMode="External"/><Relationship Id="rId69" Type="http://schemas.openxmlformats.org/officeDocument/2006/relationships/hyperlink" Target="https://pravo.by/document/?guid=3871&amp;p0=F92500258" TargetMode="External"/><Relationship Id="rId70" Type="http://schemas.openxmlformats.org/officeDocument/2006/relationships/hyperlink" Target="https://belta.by/economics/view/sovet-eek-iskljuchil-77-gosudarstv-iz-sistemy-tarifnyh-preferentsij-eaes-431450-2021/" TargetMode="External"/><Relationship Id="rId71" Type="http://schemas.openxmlformats.org/officeDocument/2006/relationships/hyperlink" Target="https://belta.by/economics/view/eek-obnovila-perechni-stran-polzovatelej-edinoj-sistemy-tarifnyh-preferentsij-eaes-436828-2021/" TargetMode="External"/><Relationship Id="rId72" Type="http://schemas.openxmlformats.org/officeDocument/2006/relationships/hyperlink" Target="https://www.belta.by/economics/view/eaes-poka-ne-gotov-perehodit-na-preferentsialnyj-rezhim-torgovli-s-kitaem-ministr-eek-362135-2019/" TargetMode="External"/><Relationship Id="rId73" Type="http://schemas.openxmlformats.org/officeDocument/2006/relationships/hyperlink" Target="https://belta.by/economics/view/sovet-eek-ustanovil-normu-dlja-besposhlinnyh-pokupok-na-inostrannyh-marketplejsah-na-kakuju-summu-758455-2026/" TargetMode="External"/><Relationship Id="rId74" Type="http://schemas.openxmlformats.org/officeDocument/2006/relationships/hyperlink" Target="https://belta.by/economics/view/v-belarusi-s-29-aprelja-menjajutsja-stavki-utilizatsionnogo-sbora-777593-2026/" TargetMode="External"/><Relationship Id="rId75" Type="http://schemas.openxmlformats.org/officeDocument/2006/relationships/hyperlink" Target="https://belta.by/society/view/kvota-po-besposhlinnomu-vvozu-fizlitsami-elektromobilej-ischerpana-gtk-799565-2026/" TargetMode="External"/><Relationship Id="rId76" Type="http://schemas.openxmlformats.org/officeDocument/2006/relationships/hyperlink" Target="https://belta.by/society/view/gtk-kvota-po-besposhlinnomu-vvozu-jurlitsami-elektromobilej-ischerpana-792788-2026/" TargetMode="External"/><Relationship Id="rId77" Type="http://schemas.openxmlformats.org/officeDocument/2006/relationships/hyperlink" Target="https://belta.by/society/view/s-2026-goda-vse-po-novomu-tamozhnja-i-nds-na-skolko-podorozhajut-gibridy-reev-pri-vvoze-fizlitsami-755694-2025/" TargetMode="External"/><Relationship Id="rId78" Type="http://schemas.openxmlformats.org/officeDocument/2006/relationships/hyperlink" Target="https://belta.by/economics/view/v-belarusi-snizhajutsja-eksportnye-poshliny-na-szhizhennye-uglevodorodnye-gazy-785561-2026/" TargetMode="External"/><Relationship Id="rId79" Type="http://schemas.openxmlformats.org/officeDocument/2006/relationships/hyperlink" Target="https://belta.by/society/view/belarus-prodlila-zapret-na-vvoz-otdelnyh-tovarov-iz-nedruzhestvennyh-stran-do-kontsa-2027-goda-756905-2025/" TargetMode="External"/><Relationship Id="rId80" Type="http://schemas.openxmlformats.org/officeDocument/2006/relationships/hyperlink" Target="https://belta.by/politics/view/stali-izvestny-podrobnosti-o-merah-belarusi-v-otvet-na-sanktsii-zapada-473625-2021/" TargetMode="External"/><Relationship Id="rId81" Type="http://schemas.openxmlformats.org/officeDocument/2006/relationships/hyperlink" Target="https://www.belta.by/society/view/belarus-vvela-otvetnye-mery-na-nedruzhestvennye-dejstvija-litvy-po-zakrytiju-punktov-propuska-621423-2024" TargetMode="External"/><Relationship Id="rId82" Type="http://schemas.openxmlformats.org/officeDocument/2006/relationships/hyperlink" Target="https://eng.belta.by/economics/view/eaeu-uae-economic-partnership-agreement-to-enter-into-force-on-6-october-184247-2026/" TargetMode="External"/><Relationship Id="rId83" Type="http://schemas.openxmlformats.org/officeDocument/2006/relationships/hyperlink" Target="https://belta.by/economics/view/snizhenie-poshlin-na-90-tovarooborota-vremennoe-torgovoe-soglashenie-mezhdu-eaes-i-mongoliej-vstupilo-792377-2026/" TargetMode="External"/><Relationship Id="rId84" Type="http://schemas.openxmlformats.org/officeDocument/2006/relationships/hyperlink" Target="https://belta.by/president/view/belarus-ratifitsirovala-soglashenie-o-svobodnoj-torgovle-mezhdu-eaes-i-indoneziej-781973-2026/" TargetMode="External"/><Relationship Id="rId85" Type="http://schemas.openxmlformats.org/officeDocument/2006/relationships/hyperlink" Target="https://belta.by/economics/view/soglashenie-o-svobodnoj-torgovle-mezhdu-eaes-i-indoneziej-mozhet-vstupit-v-silu-do-kontsa-2026-goda-801437-2026/" TargetMode="External"/><Relationship Id="rId86" Type="http://schemas.openxmlformats.org/officeDocument/2006/relationships/hyperlink" Target="https://belta.by/economics/view/eek-obnulila-vvoznuju-tamozhennuju-poshlinu-na-margantsevye-rudy-i-kontsentraty-795497-2026" TargetMode="External"/><Relationship Id="rId87" Type="http://schemas.openxmlformats.org/officeDocument/2006/relationships/hyperlink" Target="https://belta.by/economics/view/eek-ustanovila-nulevuju-poshlinu-na-vvoz-v-eaes-othodov-i-loma-titana-795500-2026/" TargetMode="External"/><Relationship Id="rId88" Type="http://schemas.openxmlformats.org/officeDocument/2006/relationships/hyperlink" Target="https://belta.by/economics/view/eek-obnulila-vvoznuju-poshlinu-na-ferrosplav-dlja-metallurgii-759978-2026/" TargetMode="External"/><Relationship Id="rId89" Type="http://schemas.openxmlformats.org/officeDocument/2006/relationships/hyperlink" Target="https://belta.by/economics/view/sovet-eek-vremenno-obnulil-poshliny-na-vvoz-v-eaes-na-sulfidy-natrija-i-efiry-tselljulozy-729643-2025/" TargetMode="External"/><Relationship Id="rId90" Type="http://schemas.openxmlformats.org/officeDocument/2006/relationships/hyperlink" Target="https://belta.by/economics/view/v-belarusi-rasshiren-perechen-tehnologicheskogo-oborudovanija-osvobozhdaemogo-ot-vvoznogo-nds-763058-2026/" TargetMode="External"/><Relationship Id="rId91" Type="http://schemas.openxmlformats.org/officeDocument/2006/relationships/hyperlink" Target="https://belta.by/economics/view/eek-prodlila-na-5-let-poshlinu-na-vvoz-v-eaes-iz-kitaja-listovyh-ressor-797678-2026/" TargetMode="External"/><Relationship Id="rId92" Type="http://schemas.openxmlformats.org/officeDocument/2006/relationships/hyperlink" Target="https://belta.by/society/view/prodleno-dejstvie-antidempingovoj-poshliny-na-vvoz-v-eaes-kitajskih-listovyh-ressor-764922-2026/" TargetMode="External"/><Relationship Id="rId93" Type="http://schemas.openxmlformats.org/officeDocument/2006/relationships/hyperlink" Target="https://belta.by/economics/view/eek-prodlila-na-pjat-let-antidempingovuju-poshlinu-na-kitajskie-nerzhavejuschie-truby-799973-2026" TargetMode="External"/><Relationship Id="rId94" Type="http://schemas.openxmlformats.org/officeDocument/2006/relationships/hyperlink" Target="https://belta.by/economics/view/eek-vremenno-priostanovila-antidempingovuju-meru-v-otnoshenii-dioksida-titana-iz-knr-802031-2026/" TargetMode="External"/><Relationship Id="rId95" Type="http://schemas.openxmlformats.org/officeDocument/2006/relationships/hyperlink" Target="https://belta.by/economics/view/eek-utverdila-parametry-antidempingovoj-mery-v-otnoshenii-grafitirovannyh-elektrodov-iz-knr-754405-2025/" TargetMode="External"/><Relationship Id="rId96" Type="http://schemas.openxmlformats.org/officeDocument/2006/relationships/hyperlink" Target="https://belta.by/society/view/antidempingovaja-poshlina-na-kolesnye-diski-iz-japonii-tailanda-turtsii-i-malajzii-vvoditsja-v-eaes-688687-2025/" TargetMode="External"/><Relationship Id="rId97" Type="http://schemas.openxmlformats.org/officeDocument/2006/relationships/hyperlink" Target="https://eng.belta.by/politics/view/eus-decision-to-increase-tariffs-on-belarusian-goods-described-as-blatant-trade-protectionism-168282-2025" TargetMode="External"/><Relationship Id="rId98" Type="http://schemas.openxmlformats.org/officeDocument/2006/relationships/hyperlink" Target="https://eng.belta.by/politics/view/bread-is-life-as-middle-east-war-triggers-fertilizer-race-eu-looks-toward-belarus-178077-2026/" TargetMode="External"/><Relationship Id="rId99" Type="http://schemas.openxmlformats.org/officeDocument/2006/relationships/hyperlink" Target="https://belta.by/economics/view/ssha-snimajut-sanktsii-s-dvuh-belorusskih-bankov-i-minfina-okonchatelno-reshen-vopros-po-kaliju-770657-2026/" TargetMode="External"/><Relationship Id="rId100" Type="http://schemas.openxmlformats.org/officeDocument/2006/relationships/hyperlink" Target="https://belta.by/economics/view/koul-ssha-snimajut-sanktsii-s-belorusskogo-kalija-754015-2025/" TargetMode="External"/><Relationship Id="rId101" Type="http://schemas.openxmlformats.org/officeDocument/2006/relationships/hyperlink" Target="https://belta.by/president/view/ssha-snjali-sanktsii-s-belavia-736730-2025/" TargetMode="External"/><Relationship Id="rId102" Type="http://schemas.openxmlformats.org/officeDocument/2006/relationships/hyperlink" Target="https://eng.belta.by/politics/view/fm-russia-china-and-the-uae-are-belarus-top-three-trading-partners-166165-2025/" TargetMode="External"/><Relationship Id="rId103" Type="http://schemas.openxmlformats.org/officeDocument/2006/relationships/hyperlink" Target="https://china.mfa.gov.by/ru/bilateral/trade/" TargetMode="External"/><Relationship Id="rId104" Type="http://schemas.openxmlformats.org/officeDocument/2006/relationships/hyperlink" Target="https://uzbekistan.mfa.gov.by/ru/exportby/tarif/" TargetMode="External"/><Relationship Id="rId105" Type="http://schemas.openxmlformats.org/officeDocument/2006/relationships/hyperlink" Target="https://industrialpark.by/investoram/preimushchestva-parka/" TargetMode="External"/><Relationship Id="rId106" Type="http://schemas.openxmlformats.org/officeDocument/2006/relationships/hyperlink" Target="https://www.wto.org/english/res_e/statis_e/daily_update_e/tariff_profiles/RU_E.pdf" TargetMode="External"/><Relationship Id="rId107" Type="http://schemas.openxmlformats.org/officeDocument/2006/relationships/hyperlink" Target="https://www.wto.org/english/res_e/booksp_e/world_tariff_profiles25_e.pdf" TargetMode="External"/><Relationship Id="rId108" Type="http://schemas.openxmlformats.org/officeDocument/2006/relationships/hyperlink" Target="https://www.wto.org/english/thewto_e/acc_e/a1_belarus_e.htm" TargetMode="External"/><Relationship Id="rId109" Type="http://schemas.openxmlformats.org/officeDocument/2006/relationships/hyperlink" Target="https://www.international.gc.ca/world-monde/international_relations-relations_internationales/wto-omc/news-nouvelles/2022-03-28-statement-belarus-declaration.aspx?lang=eng" TargetMode="External"/><Relationship Id="rId110" Type="http://schemas.openxmlformats.org/officeDocument/2006/relationships/hyperlink" Target="https://wits.worldbank.org/CountryProfile/en/Country/RUS/Year/2024/Summarytext" TargetMode="External"/><Relationship Id="rId111" Type="http://schemas.openxmlformats.org/officeDocument/2006/relationships/hyperlink" Target="https://trade.ec.europa.eu/access-to-markets/en/news/eu-increases-tariff-duties-russian-and-belarusian-imports-agricultural-products-and-fertilizers" TargetMode="External"/><Relationship Id="rId112" Type="http://schemas.openxmlformats.org/officeDocument/2006/relationships/hyperlink" Target="https://www.consilium.europa.eu/en/press/press-releases/2025/06/12/trade-eu-adopts-new-tariffs-on-russian-and-belarusian-agricultural-goods-and-fertilisers/" TargetMode="External"/><Relationship Id="rId113" Type="http://schemas.openxmlformats.org/officeDocument/2006/relationships/hyperlink" Target="https://www.congress.gov/bill/117th-congress/house-bill/7108" TargetMode="External"/><Relationship Id="rId114" Type="http://schemas.openxmlformats.org/officeDocument/2006/relationships/hyperlink" Target="https://www.loc.gov/item/global-legal-monitor/2022-04-22/united-states-legislation-enacted-suspending-permanent-and-normal-trade-relations-with-russian-federation-and-belarus/" TargetMode="External"/><Relationship Id="rId115" Type="http://schemas.openxmlformats.org/officeDocument/2006/relationships/hyperlink" Target="https://interfax.com/newsroom/top-stories/99871/" TargetMode="External"/><Relationship Id="rId116" Type="http://schemas.openxmlformats.org/officeDocument/2006/relationships/hyperlink" Target="https://bti-project.org/en/reports/country-report/BLR" TargetMode="External"/><Relationship Id="rId117" Type="http://schemas.openxmlformats.org/officeDocument/2006/relationships/hyperlink" Target="https://www.lexology.com/library/detail.aspx?g=7128b051-393f-4a47-a0ac-a9edeb104838" TargetMode="External"/><Relationship Id="rId118" Type="http://schemas.openxmlformats.org/officeDocument/2006/relationships/hyperlink" Target="https://www.anderinger.com/russia-belarus-lose-normal-trade-relation-status-with-the-u-s/" TargetMode="External"/><Relationship Id="rId119" Type="http://schemas.openxmlformats.org/officeDocument/2006/relationships/hyperlink" Target="https://www.alta.ru/tnved/" TargetMode="External"/><Relationship Id="rId120" Type="http://schemas.openxmlformats.org/officeDocument/2006/relationships/hyperlink" Target="https://www.tks.ru/db/tnved/tree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D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95"/>
    <col collapsed="false" customWidth="true" hidden="false" outlineLevel="0" max="4" min="4" style="0" width="26"/>
  </cols>
  <sheetData>
    <row r="1" customFormat="false" ht="19.7" hidden="false" customHeight="false" outlineLevel="0" collapsed="false">
      <c r="A1" s="1" t="s">
        <v>0</v>
      </c>
      <c r="B1" s="2"/>
      <c r="C1" s="2"/>
      <c r="D1" s="2"/>
    </row>
    <row r="2" customFormat="false" ht="30" hidden="false" customHeight="true" outlineLevel="0" collapsed="false">
      <c r="A2" s="3" t="s">
        <v>1</v>
      </c>
      <c r="B2" s="3"/>
      <c r="C2" s="3"/>
      <c r="D2" s="3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4" t="s">
        <v>2</v>
      </c>
      <c r="B4" s="5"/>
      <c r="C4" s="5"/>
      <c r="D4" s="5"/>
    </row>
    <row r="5" customFormat="false" ht="31.5" hidden="false" customHeight="true" outlineLevel="0" collapsed="false">
      <c r="A5" s="6" t="n">
        <v>1</v>
      </c>
      <c r="B5" s="7" t="s">
        <v>3</v>
      </c>
      <c r="C5" s="7"/>
      <c r="D5" s="7"/>
    </row>
    <row r="6" customFormat="false" ht="31.5" hidden="false" customHeight="true" outlineLevel="0" collapsed="false">
      <c r="A6" s="6" t="n">
        <v>2</v>
      </c>
      <c r="B6" s="7" t="s">
        <v>4</v>
      </c>
      <c r="C6" s="7"/>
      <c r="D6" s="7"/>
    </row>
    <row r="7" customFormat="false" ht="31.5" hidden="false" customHeight="true" outlineLevel="0" collapsed="false">
      <c r="A7" s="6" t="n">
        <v>3</v>
      </c>
      <c r="B7" s="7" t="s">
        <v>5</v>
      </c>
      <c r="C7" s="7"/>
      <c r="D7" s="7"/>
    </row>
    <row r="8" customFormat="false" ht="31.5" hidden="false" customHeight="true" outlineLevel="0" collapsed="false">
      <c r="A8" s="6" t="n">
        <v>4</v>
      </c>
      <c r="B8" s="7" t="s">
        <v>6</v>
      </c>
      <c r="C8" s="7"/>
      <c r="D8" s="7"/>
    </row>
    <row r="9" customFormat="false" ht="15" hidden="false" customHeight="false" outlineLevel="0" collapsed="false">
      <c r="A9" s="2"/>
      <c r="B9" s="2"/>
      <c r="C9" s="2"/>
      <c r="D9" s="2"/>
    </row>
    <row r="10" customFormat="false" ht="15" hidden="false" customHeight="false" outlineLevel="0" collapsed="false">
      <c r="A10" s="4" t="s">
        <v>7</v>
      </c>
      <c r="B10" s="5"/>
      <c r="C10" s="5"/>
      <c r="D10" s="5"/>
    </row>
    <row r="11" customFormat="false" ht="15" hidden="false" customHeight="false" outlineLevel="0" collapsed="false">
      <c r="A11" s="8" t="s">
        <v>8</v>
      </c>
      <c r="B11" s="9" t="s">
        <v>9</v>
      </c>
      <c r="C11" s="9" t="s">
        <v>10</v>
      </c>
      <c r="D11" s="9" t="s">
        <v>11</v>
      </c>
    </row>
    <row r="12" customFormat="false" ht="57.75" hidden="false" customHeight="true" outlineLevel="0" collapsed="false">
      <c r="A12" s="10" t="n">
        <v>1</v>
      </c>
      <c r="B12" s="11" t="s">
        <v>12</v>
      </c>
      <c r="C12" s="11" t="s">
        <v>13</v>
      </c>
      <c r="D12" s="12" t="s">
        <v>14</v>
      </c>
    </row>
    <row r="13" customFormat="false" ht="57.75" hidden="false" customHeight="true" outlineLevel="0" collapsed="false">
      <c r="A13" s="10" t="n">
        <v>2</v>
      </c>
      <c r="B13" s="11" t="s">
        <v>15</v>
      </c>
      <c r="C13" s="12" t="s">
        <v>16</v>
      </c>
      <c r="D13" s="12" t="s">
        <v>17</v>
      </c>
    </row>
    <row r="14" customFormat="false" ht="57.75" hidden="false" customHeight="true" outlineLevel="0" collapsed="false">
      <c r="A14" s="10" t="n">
        <v>3</v>
      </c>
      <c r="B14" s="11" t="s">
        <v>18</v>
      </c>
      <c r="C14" s="11" t="s">
        <v>19</v>
      </c>
      <c r="D14" s="12" t="s">
        <v>20</v>
      </c>
    </row>
    <row r="15" customFormat="false" ht="57.75" hidden="false" customHeight="true" outlineLevel="0" collapsed="false">
      <c r="A15" s="10" t="n">
        <v>4</v>
      </c>
      <c r="B15" s="11" t="s">
        <v>21</v>
      </c>
      <c r="C15" s="11" t="s">
        <v>22</v>
      </c>
      <c r="D15" s="12" t="s">
        <v>23</v>
      </c>
    </row>
    <row r="16" customFormat="false" ht="57.75" hidden="false" customHeight="true" outlineLevel="0" collapsed="false">
      <c r="A16" s="10" t="n">
        <v>5</v>
      </c>
      <c r="B16" s="11" t="s">
        <v>24</v>
      </c>
      <c r="C16" s="12" t="s">
        <v>25</v>
      </c>
      <c r="D16" s="12" t="s">
        <v>26</v>
      </c>
    </row>
    <row r="17" customFormat="false" ht="57.75" hidden="false" customHeight="true" outlineLevel="0" collapsed="false">
      <c r="A17" s="10" t="n">
        <v>6</v>
      </c>
      <c r="B17" s="11" t="s">
        <v>27</v>
      </c>
      <c r="C17" s="12" t="s">
        <v>28</v>
      </c>
      <c r="D17" s="12" t="s">
        <v>29</v>
      </c>
    </row>
    <row r="18" customFormat="false" ht="57.75" hidden="false" customHeight="true" outlineLevel="0" collapsed="false">
      <c r="A18" s="10" t="n">
        <v>7</v>
      </c>
      <c r="B18" s="11" t="s">
        <v>30</v>
      </c>
      <c r="C18" s="11" t="s">
        <v>31</v>
      </c>
      <c r="D18" s="12" t="s">
        <v>32</v>
      </c>
    </row>
    <row r="19" customFormat="false" ht="57.75" hidden="false" customHeight="true" outlineLevel="0" collapsed="false">
      <c r="A19" s="10" t="n">
        <v>8</v>
      </c>
      <c r="B19" s="11" t="s">
        <v>33</v>
      </c>
      <c r="C19" s="11" t="s">
        <v>34</v>
      </c>
      <c r="D19" s="12" t="s">
        <v>35</v>
      </c>
    </row>
    <row r="20" customFormat="false" ht="57.75" hidden="false" customHeight="true" outlineLevel="0" collapsed="false">
      <c r="A20" s="10" t="n">
        <v>9</v>
      </c>
      <c r="B20" s="11" t="s">
        <v>36</v>
      </c>
      <c r="C20" s="11" t="s">
        <v>37</v>
      </c>
      <c r="D20" s="12" t="s">
        <v>38</v>
      </c>
    </row>
    <row r="21" customFormat="false" ht="57.75" hidden="false" customHeight="true" outlineLevel="0" collapsed="false">
      <c r="A21" s="10" t="n">
        <v>10</v>
      </c>
      <c r="B21" s="11" t="s">
        <v>39</v>
      </c>
      <c r="C21" s="11" t="s">
        <v>40</v>
      </c>
      <c r="D21" s="12" t="s">
        <v>41</v>
      </c>
    </row>
    <row r="22" customFormat="false" ht="15" hidden="false" customHeight="false" outlineLevel="0" collapsed="false">
      <c r="A22" s="2"/>
      <c r="B22" s="2"/>
      <c r="C22" s="2"/>
      <c r="D22" s="2"/>
    </row>
    <row r="23" customFormat="false" ht="15" hidden="false" customHeight="false" outlineLevel="0" collapsed="false">
      <c r="A23" s="4" t="s">
        <v>42</v>
      </c>
      <c r="B23" s="5"/>
      <c r="C23" s="5"/>
      <c r="D23" s="5"/>
    </row>
    <row r="24" customFormat="false" ht="15" hidden="false" customHeight="false" outlineLevel="0" collapsed="false">
      <c r="A24" s="2"/>
      <c r="B24" s="13" t="s">
        <v>43</v>
      </c>
      <c r="C24" s="14" t="s">
        <v>44</v>
      </c>
      <c r="D24" s="2"/>
    </row>
    <row r="25" customFormat="false" ht="15" hidden="false" customHeight="false" outlineLevel="0" collapsed="false">
      <c r="A25" s="2"/>
      <c r="B25" s="13" t="s">
        <v>45</v>
      </c>
      <c r="C25" s="14" t="s">
        <v>46</v>
      </c>
      <c r="D25" s="2"/>
    </row>
    <row r="26" customFormat="false" ht="15" hidden="false" customHeight="false" outlineLevel="0" collapsed="false">
      <c r="A26" s="2"/>
      <c r="B26" s="13" t="s">
        <v>47</v>
      </c>
      <c r="C26" s="14" t="s">
        <v>48</v>
      </c>
      <c r="D26" s="2"/>
    </row>
    <row r="27" customFormat="false" ht="15" hidden="false" customHeight="false" outlineLevel="0" collapsed="false">
      <c r="A27" s="2"/>
      <c r="B27" s="13" t="s">
        <v>49</v>
      </c>
      <c r="C27" s="14" t="s">
        <v>50</v>
      </c>
      <c r="D27" s="2"/>
    </row>
    <row r="28" customFormat="false" ht="15" hidden="false" customHeight="false" outlineLevel="0" collapsed="false">
      <c r="A28" s="2"/>
      <c r="B28" s="13" t="s">
        <v>51</v>
      </c>
      <c r="C28" s="14" t="s">
        <v>52</v>
      </c>
      <c r="D28" s="2"/>
    </row>
    <row r="29" customFormat="false" ht="15" hidden="false" customHeight="false" outlineLevel="0" collapsed="false">
      <c r="A29" s="2"/>
      <c r="B29" s="13" t="s">
        <v>53</v>
      </c>
      <c r="C29" s="14" t="s">
        <v>54</v>
      </c>
      <c r="D29" s="2"/>
    </row>
    <row r="30" customFormat="false" ht="15" hidden="false" customHeight="false" outlineLevel="0" collapsed="false">
      <c r="A30" s="2"/>
      <c r="B30" s="13" t="s">
        <v>55</v>
      </c>
      <c r="C30" s="14" t="s">
        <v>56</v>
      </c>
      <c r="D30" s="2"/>
    </row>
    <row r="31" customFormat="false" ht="15" hidden="false" customHeight="false" outlineLevel="0" collapsed="false">
      <c r="A31" s="2"/>
      <c r="B31" s="13" t="s">
        <v>57</v>
      </c>
      <c r="C31" s="14" t="s">
        <v>58</v>
      </c>
      <c r="D31" s="2"/>
    </row>
    <row r="32" customFormat="false" ht="15" hidden="false" customHeight="false" outlineLevel="0" collapsed="false">
      <c r="A32" s="2"/>
      <c r="B32" s="13" t="s">
        <v>59</v>
      </c>
      <c r="C32" s="15" t="s">
        <v>60</v>
      </c>
      <c r="D32" s="2"/>
    </row>
    <row r="33" customFormat="false" ht="15" hidden="false" customHeight="false" outlineLevel="0" collapsed="false">
      <c r="A33" s="2"/>
      <c r="B33" s="13" t="s">
        <v>36</v>
      </c>
      <c r="C33" s="14" t="s">
        <v>61</v>
      </c>
      <c r="D33" s="2"/>
    </row>
    <row r="34" customFormat="false" ht="15" hidden="false" customHeight="false" outlineLevel="0" collapsed="false">
      <c r="A34" s="2"/>
      <c r="B34" s="13" t="s">
        <v>62</v>
      </c>
      <c r="C34" s="14" t="s">
        <v>63</v>
      </c>
      <c r="D34" s="2"/>
    </row>
    <row r="35" customFormat="false" ht="15" hidden="false" customHeight="false" outlineLevel="0" collapsed="false">
      <c r="A35" s="2"/>
      <c r="B35" s="13" t="s">
        <v>64</v>
      </c>
      <c r="C35" s="14" t="s">
        <v>65</v>
      </c>
      <c r="D35" s="2"/>
    </row>
    <row r="36" customFormat="false" ht="15" hidden="false" customHeight="false" outlineLevel="0" collapsed="false">
      <c r="A36" s="2"/>
      <c r="B36" s="13" t="s">
        <v>66</v>
      </c>
      <c r="C36" s="15" t="s">
        <v>67</v>
      </c>
      <c r="D36" s="2"/>
    </row>
    <row r="37" customFormat="false" ht="15" hidden="false" customHeight="false" outlineLevel="0" collapsed="false">
      <c r="A37" s="2"/>
      <c r="B37" s="13" t="s">
        <v>68</v>
      </c>
      <c r="C37" s="14" t="s">
        <v>69</v>
      </c>
      <c r="D37" s="2"/>
    </row>
    <row r="38" customFormat="false" ht="15" hidden="false" customHeight="false" outlineLevel="0" collapsed="false">
      <c r="A38" s="2"/>
      <c r="B38" s="13" t="s">
        <v>70</v>
      </c>
      <c r="C38" s="14" t="s">
        <v>71</v>
      </c>
      <c r="D38" s="2"/>
    </row>
    <row r="39" customFormat="false" ht="15" hidden="false" customHeight="false" outlineLevel="0" collapsed="false">
      <c r="A39" s="2"/>
      <c r="B39" s="2"/>
      <c r="C39" s="2"/>
      <c r="D39" s="2"/>
    </row>
    <row r="40" customFormat="false" ht="15" hidden="false" customHeight="false" outlineLevel="0" collapsed="false">
      <c r="A40" s="4" t="s">
        <v>72</v>
      </c>
      <c r="B40" s="5"/>
      <c r="C40" s="5"/>
      <c r="D40" s="5"/>
    </row>
    <row r="41" customFormat="false" ht="15" hidden="false" customHeight="false" outlineLevel="0" collapsed="false">
      <c r="A41" s="2"/>
      <c r="B41" s="16" t="s">
        <v>73</v>
      </c>
      <c r="C41" s="17" t="s">
        <v>74</v>
      </c>
      <c r="D41" s="2"/>
    </row>
    <row r="42" customFormat="false" ht="15" hidden="false" customHeight="false" outlineLevel="0" collapsed="false">
      <c r="A42" s="2"/>
      <c r="B42" s="18" t="s">
        <v>75</v>
      </c>
      <c r="C42" s="17" t="s">
        <v>76</v>
      </c>
      <c r="D42" s="2"/>
    </row>
    <row r="43" customFormat="false" ht="15" hidden="false" customHeight="false" outlineLevel="0" collapsed="false">
      <c r="A43" s="2"/>
      <c r="B43" s="19" t="s">
        <v>77</v>
      </c>
      <c r="C43" s="17" t="s">
        <v>78</v>
      </c>
      <c r="D43" s="2"/>
    </row>
  </sheetData>
  <mergeCells count="5">
    <mergeCell ref="A2:D2"/>
    <mergeCell ref="B5:D5"/>
    <mergeCell ref="B6:D6"/>
    <mergeCell ref="B7:D7"/>
    <mergeCell ref="B8:D8"/>
  </mergeCells>
  <hyperlinks>
    <hyperlink ref="B24" location="'研究方法与论证'!A1" display="研究方法与论证"/>
    <hyperlink ref="B25" location="'关税体系框架'!A1" display="关税体系框架"/>
    <hyperlink ref="B26" location="'进口税费构成'!A1" display="进口税费构成"/>
    <hyperlink ref="B27" location="'商品税率样例'!A1" display="商品税率样例"/>
    <hyperlink ref="B28" location="'关税优惠与减免'!A1" display="关税优惠与减免"/>
    <hyperlink ref="B29" location="'自贸协定'!A1" display="自贸协定"/>
    <hyperlink ref="B30" location="'出口关税与管制'!A1" display="出口关税与管制"/>
    <hyperlink ref="B31" location="'非关税措施与反制'!A1" display="非关税措施与反制"/>
    <hyperlink ref="B32" location="'贸易救济措施'!A1" display="贸易救济措施"/>
    <hyperlink ref="B33" location="'个人物品与跨境电商'!A1" display="个人物品与跨境电商"/>
    <hyperlink ref="B34" location="'汽车进口专题'!A1" display="汽车进口专题"/>
    <hyperlink ref="B35" location="'外部市场对白关税'!A1" display="外部市场对白关税"/>
    <hyperlink ref="B36" location="'政策时间线'!A1" display="政策时间线"/>
    <hyperlink ref="B37" location="'税费测算器'!A1" display="税费测算器"/>
    <hyperlink ref="B38" location="'数据来源'!A1" display="数据来源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F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4" min="4" style="0" width="22"/>
    <col collapsed="false" customWidth="true" hidden="false" outlineLevel="0" max="5" min="5" style="0" width="60"/>
    <col collapsed="false" customWidth="true" hidden="false" outlineLevel="0" max="6" min="6" style="0" width="10"/>
  </cols>
  <sheetData>
    <row r="1" customFormat="false" ht="19.7" hidden="false" customHeight="false" outlineLevel="0" collapsed="false">
      <c r="A1" s="1" t="s">
        <v>79</v>
      </c>
      <c r="B1" s="2"/>
      <c r="C1" s="2"/>
      <c r="D1" s="2"/>
      <c r="E1" s="2"/>
      <c r="F1" s="2"/>
    </row>
    <row r="2" customFormat="false" ht="30" hidden="false" customHeight="true" outlineLevel="0" collapsed="false">
      <c r="A2" s="3" t="s">
        <v>80</v>
      </c>
      <c r="B2" s="3"/>
      <c r="C2" s="3"/>
      <c r="D2" s="3"/>
      <c r="E2" s="3"/>
      <c r="F2" s="3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4" t="s">
        <v>81</v>
      </c>
      <c r="B4" s="5"/>
      <c r="C4" s="5"/>
      <c r="D4" s="5"/>
      <c r="E4" s="5"/>
      <c r="F4" s="5"/>
    </row>
    <row r="5" customFormat="false" ht="15" hidden="false" customHeight="true" outlineLevel="0" collapsed="false">
      <c r="A5" s="9" t="s">
        <v>82</v>
      </c>
      <c r="B5" s="9" t="s">
        <v>83</v>
      </c>
      <c r="C5" s="9" t="s">
        <v>84</v>
      </c>
      <c r="D5" s="9"/>
      <c r="E5" s="9" t="s">
        <v>85</v>
      </c>
      <c r="F5" s="9"/>
    </row>
    <row r="6" customFormat="false" ht="15" hidden="false" customHeight="true" outlineLevel="0" collapsed="false">
      <c r="A6" s="10" t="s">
        <v>86</v>
      </c>
      <c r="B6" s="11" t="s">
        <v>87</v>
      </c>
      <c r="C6" s="11" t="s">
        <v>88</v>
      </c>
      <c r="D6" s="11"/>
      <c r="E6" s="11" t="s">
        <v>45</v>
      </c>
      <c r="F6" s="11"/>
    </row>
    <row r="7" customFormat="false" ht="15" hidden="false" customHeight="true" outlineLevel="0" collapsed="false">
      <c r="A7" s="10" t="s">
        <v>89</v>
      </c>
      <c r="B7" s="11" t="s">
        <v>90</v>
      </c>
      <c r="C7" s="11" t="s">
        <v>91</v>
      </c>
      <c r="D7" s="11"/>
      <c r="E7" s="11" t="s">
        <v>49</v>
      </c>
      <c r="F7" s="11"/>
    </row>
    <row r="8" customFormat="false" ht="15" hidden="false" customHeight="true" outlineLevel="0" collapsed="false">
      <c r="A8" s="10" t="s">
        <v>92</v>
      </c>
      <c r="B8" s="11" t="s">
        <v>93</v>
      </c>
      <c r="C8" s="11" t="s">
        <v>94</v>
      </c>
      <c r="D8" s="11"/>
      <c r="E8" s="11" t="s">
        <v>95</v>
      </c>
      <c r="F8" s="11"/>
    </row>
    <row r="9" customFormat="false" ht="15" hidden="false" customHeight="true" outlineLevel="0" collapsed="false">
      <c r="A9" s="10" t="s">
        <v>96</v>
      </c>
      <c r="B9" s="11" t="s">
        <v>97</v>
      </c>
      <c r="C9" s="11" t="s">
        <v>98</v>
      </c>
      <c r="D9" s="11"/>
      <c r="E9" s="11" t="s">
        <v>99</v>
      </c>
      <c r="F9" s="11"/>
    </row>
    <row r="10" customFormat="false" ht="15" hidden="false" customHeight="true" outlineLevel="0" collapsed="false">
      <c r="A10" s="10" t="s">
        <v>100</v>
      </c>
      <c r="B10" s="11" t="s">
        <v>101</v>
      </c>
      <c r="C10" s="11" t="s">
        <v>102</v>
      </c>
      <c r="D10" s="11"/>
      <c r="E10" s="11" t="s">
        <v>99</v>
      </c>
      <c r="F10" s="11"/>
    </row>
    <row r="11" customFormat="false" ht="15" hidden="false" customHeight="true" outlineLevel="0" collapsed="false">
      <c r="A11" s="10" t="s">
        <v>103</v>
      </c>
      <c r="B11" s="11" t="s">
        <v>104</v>
      </c>
      <c r="C11" s="11" t="s">
        <v>105</v>
      </c>
      <c r="D11" s="11"/>
      <c r="E11" s="11" t="s">
        <v>55</v>
      </c>
      <c r="F11" s="11"/>
    </row>
    <row r="12" customFormat="false" ht="15" hidden="false" customHeight="true" outlineLevel="0" collapsed="false">
      <c r="A12" s="10" t="s">
        <v>106</v>
      </c>
      <c r="B12" s="11" t="s">
        <v>107</v>
      </c>
      <c r="C12" s="11" t="s">
        <v>108</v>
      </c>
      <c r="D12" s="11"/>
      <c r="E12" s="11" t="s">
        <v>109</v>
      </c>
      <c r="F12" s="11"/>
    </row>
    <row r="13" customFormat="false" ht="15" hidden="false" customHeight="true" outlineLevel="0" collapsed="false">
      <c r="A13" s="10" t="s">
        <v>110</v>
      </c>
      <c r="B13" s="11" t="s">
        <v>111</v>
      </c>
      <c r="C13" s="11" t="s">
        <v>112</v>
      </c>
      <c r="D13" s="11"/>
      <c r="E13" s="11" t="s">
        <v>64</v>
      </c>
      <c r="F13" s="11"/>
    </row>
    <row r="14" customFormat="false" ht="15" hidden="false" customHeight="true" outlineLevel="0" collapsed="false">
      <c r="A14" s="10" t="s">
        <v>113</v>
      </c>
      <c r="B14" s="11" t="s">
        <v>114</v>
      </c>
      <c r="C14" s="11" t="s">
        <v>115</v>
      </c>
      <c r="D14" s="11"/>
      <c r="E14" s="11" t="s">
        <v>66</v>
      </c>
      <c r="F14" s="11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</row>
    <row r="16" customFormat="false" ht="15" hidden="false" customHeight="false" outlineLevel="0" collapsed="false">
      <c r="A16" s="4" t="s">
        <v>116</v>
      </c>
      <c r="B16" s="5"/>
      <c r="C16" s="5"/>
      <c r="D16" s="5"/>
      <c r="E16" s="5"/>
      <c r="F16" s="5"/>
    </row>
    <row r="17" customFormat="false" ht="15" hidden="false" customHeight="false" outlineLevel="0" collapsed="false">
      <c r="A17" s="9" t="s">
        <v>117</v>
      </c>
      <c r="B17" s="9" t="s">
        <v>118</v>
      </c>
      <c r="C17" s="9" t="s">
        <v>119</v>
      </c>
      <c r="D17" s="9" t="s">
        <v>120</v>
      </c>
      <c r="E17" s="9" t="s">
        <v>121</v>
      </c>
      <c r="F17" s="9" t="s">
        <v>122</v>
      </c>
    </row>
    <row r="18" customFormat="false" ht="105" hidden="false" customHeight="true" outlineLevel="0" collapsed="false">
      <c r="A18" s="10" t="n">
        <v>1</v>
      </c>
      <c r="B18" s="11" t="s">
        <v>123</v>
      </c>
      <c r="C18" s="11" t="s">
        <v>124</v>
      </c>
      <c r="D18" s="12" t="s">
        <v>125</v>
      </c>
      <c r="E18" s="11" t="s">
        <v>126</v>
      </c>
      <c r="F18" s="20" t="s">
        <v>73</v>
      </c>
    </row>
    <row r="19" customFormat="false" ht="105" hidden="false" customHeight="true" outlineLevel="0" collapsed="false">
      <c r="A19" s="10" t="n">
        <v>2</v>
      </c>
      <c r="B19" s="11" t="s">
        <v>127</v>
      </c>
      <c r="C19" s="11" t="s">
        <v>128</v>
      </c>
      <c r="D19" s="12" t="s">
        <v>129</v>
      </c>
      <c r="E19" s="11" t="s">
        <v>130</v>
      </c>
      <c r="F19" s="20" t="s">
        <v>73</v>
      </c>
    </row>
    <row r="20" customFormat="false" ht="105" hidden="false" customHeight="true" outlineLevel="0" collapsed="false">
      <c r="A20" s="10" t="n">
        <v>3</v>
      </c>
      <c r="B20" s="12" t="s">
        <v>131</v>
      </c>
      <c r="C20" s="12" t="s">
        <v>132</v>
      </c>
      <c r="D20" s="12" t="s">
        <v>133</v>
      </c>
      <c r="E20" s="11" t="s">
        <v>134</v>
      </c>
      <c r="F20" s="21" t="s">
        <v>75</v>
      </c>
    </row>
    <row r="21" customFormat="false" ht="105" hidden="false" customHeight="true" outlineLevel="0" collapsed="false">
      <c r="A21" s="10" t="n">
        <v>4</v>
      </c>
      <c r="B21" s="11" t="s">
        <v>135</v>
      </c>
      <c r="C21" s="11" t="s">
        <v>136</v>
      </c>
      <c r="D21" s="12" t="s">
        <v>137</v>
      </c>
      <c r="E21" s="11" t="s">
        <v>138</v>
      </c>
      <c r="F21" s="20" t="s">
        <v>73</v>
      </c>
    </row>
    <row r="22" customFormat="false" ht="105" hidden="false" customHeight="true" outlineLevel="0" collapsed="false">
      <c r="A22" s="10" t="n">
        <v>5</v>
      </c>
      <c r="B22" s="11" t="s">
        <v>139</v>
      </c>
      <c r="C22" s="12" t="s">
        <v>140</v>
      </c>
      <c r="D22" s="12" t="s">
        <v>141</v>
      </c>
      <c r="E22" s="11" t="s">
        <v>142</v>
      </c>
      <c r="F22" s="20" t="s">
        <v>73</v>
      </c>
    </row>
    <row r="23" customFormat="false" ht="105" hidden="false" customHeight="true" outlineLevel="0" collapsed="false">
      <c r="A23" s="10" t="n">
        <v>6</v>
      </c>
      <c r="B23" s="12" t="s">
        <v>143</v>
      </c>
      <c r="C23" s="11" t="s">
        <v>144</v>
      </c>
      <c r="D23" s="12" t="s">
        <v>145</v>
      </c>
      <c r="E23" s="11" t="s">
        <v>146</v>
      </c>
      <c r="F23" s="20" t="s">
        <v>73</v>
      </c>
    </row>
    <row r="24" customFormat="false" ht="105" hidden="false" customHeight="true" outlineLevel="0" collapsed="false">
      <c r="A24" s="10" t="n">
        <v>7</v>
      </c>
      <c r="B24" s="11" t="s">
        <v>147</v>
      </c>
      <c r="C24" s="11" t="s">
        <v>148</v>
      </c>
      <c r="D24" s="12" t="s">
        <v>149</v>
      </c>
      <c r="E24" s="11" t="s">
        <v>150</v>
      </c>
      <c r="F24" s="20" t="s">
        <v>73</v>
      </c>
    </row>
    <row r="25" customFormat="false" ht="105" hidden="false" customHeight="true" outlineLevel="0" collapsed="false">
      <c r="A25" s="10" t="n">
        <v>8</v>
      </c>
      <c r="B25" s="11" t="s">
        <v>151</v>
      </c>
      <c r="C25" s="11" t="s">
        <v>152</v>
      </c>
      <c r="D25" s="12" t="s">
        <v>153</v>
      </c>
      <c r="E25" s="11" t="s">
        <v>154</v>
      </c>
      <c r="F25" s="20" t="s">
        <v>73</v>
      </c>
    </row>
    <row r="26" customFormat="false" ht="105" hidden="false" customHeight="true" outlineLevel="0" collapsed="false">
      <c r="A26" s="10" t="n">
        <v>9</v>
      </c>
      <c r="B26" s="11" t="s">
        <v>155</v>
      </c>
      <c r="C26" s="11" t="s">
        <v>156</v>
      </c>
      <c r="D26" s="12" t="s">
        <v>157</v>
      </c>
      <c r="E26" s="11" t="s">
        <v>158</v>
      </c>
      <c r="F26" s="21" t="s">
        <v>75</v>
      </c>
    </row>
    <row r="27" customFormat="false" ht="105" hidden="false" customHeight="true" outlineLevel="0" collapsed="false">
      <c r="A27" s="10" t="n">
        <v>10</v>
      </c>
      <c r="B27" s="11" t="s">
        <v>159</v>
      </c>
      <c r="C27" s="11" t="s">
        <v>160</v>
      </c>
      <c r="D27" s="12" t="s">
        <v>161</v>
      </c>
      <c r="E27" s="11" t="s">
        <v>162</v>
      </c>
      <c r="F27" s="21" t="s">
        <v>75</v>
      </c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</row>
    <row r="29" customFormat="false" ht="15" hidden="false" customHeight="false" outlineLevel="0" collapsed="false">
      <c r="A29" s="4" t="s">
        <v>163</v>
      </c>
      <c r="B29" s="5"/>
      <c r="C29" s="5"/>
      <c r="D29" s="5"/>
      <c r="E29" s="5"/>
      <c r="F29" s="5"/>
    </row>
    <row r="30" customFormat="false" ht="45" hidden="false" customHeight="true" outlineLevel="0" collapsed="false">
      <c r="A30" s="9" t="s">
        <v>164</v>
      </c>
      <c r="B30" s="9" t="s">
        <v>165</v>
      </c>
      <c r="C30" s="9"/>
      <c r="D30" s="9"/>
      <c r="E30" s="9" t="s">
        <v>166</v>
      </c>
      <c r="F30" s="9"/>
    </row>
    <row r="31" customFormat="false" ht="45" hidden="false" customHeight="true" outlineLevel="0" collapsed="false">
      <c r="A31" s="22" t="s">
        <v>167</v>
      </c>
      <c r="B31" s="11" t="s">
        <v>168</v>
      </c>
      <c r="C31" s="11"/>
      <c r="D31" s="11"/>
      <c r="E31" s="11" t="s">
        <v>169</v>
      </c>
      <c r="F31" s="11"/>
    </row>
    <row r="32" customFormat="false" ht="45" hidden="false" customHeight="true" outlineLevel="0" collapsed="false">
      <c r="A32" s="22" t="s">
        <v>170</v>
      </c>
      <c r="B32" s="11" t="s">
        <v>171</v>
      </c>
      <c r="C32" s="11"/>
      <c r="D32" s="11"/>
      <c r="E32" s="11" t="s">
        <v>172</v>
      </c>
      <c r="F32" s="11"/>
    </row>
    <row r="33" customFormat="false" ht="45" hidden="false" customHeight="true" outlineLevel="0" collapsed="false">
      <c r="A33" s="22" t="s">
        <v>173</v>
      </c>
      <c r="B33" s="11" t="s">
        <v>174</v>
      </c>
      <c r="C33" s="11"/>
      <c r="D33" s="11"/>
      <c r="E33" s="11" t="s">
        <v>175</v>
      </c>
      <c r="F33" s="11"/>
    </row>
    <row r="34" customFormat="false" ht="45" hidden="false" customHeight="true" outlineLevel="0" collapsed="false">
      <c r="A34" s="22" t="s">
        <v>176</v>
      </c>
      <c r="B34" s="11" t="s">
        <v>177</v>
      </c>
      <c r="C34" s="11"/>
      <c r="D34" s="11"/>
      <c r="E34" s="11" t="s">
        <v>178</v>
      </c>
      <c r="F34" s="11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</row>
    <row r="36" customFormat="false" ht="15" hidden="false" customHeight="false" outlineLevel="0" collapsed="false">
      <c r="A36" s="4" t="s">
        <v>179</v>
      </c>
      <c r="B36" s="5"/>
      <c r="C36" s="5"/>
      <c r="D36" s="5"/>
      <c r="E36" s="5"/>
      <c r="F36" s="5"/>
    </row>
    <row r="37" customFormat="false" ht="30" hidden="false" customHeight="true" outlineLevel="0" collapsed="false">
      <c r="A37" s="23" t="s">
        <v>180</v>
      </c>
      <c r="B37" s="23"/>
      <c r="C37" s="23"/>
      <c r="D37" s="23"/>
      <c r="E37" s="23"/>
      <c r="F37" s="23"/>
    </row>
    <row r="38" customFormat="false" ht="15" hidden="false" customHeight="true" outlineLevel="0" collapsed="false">
      <c r="A38" s="23" t="s">
        <v>181</v>
      </c>
      <c r="B38" s="23"/>
      <c r="C38" s="23"/>
      <c r="D38" s="23"/>
      <c r="E38" s="23"/>
      <c r="F38" s="23"/>
    </row>
    <row r="39" customFormat="false" ht="15" hidden="false" customHeight="true" outlineLevel="0" collapsed="false">
      <c r="A39" s="23" t="s">
        <v>182</v>
      </c>
      <c r="B39" s="23"/>
      <c r="C39" s="23"/>
      <c r="D39" s="23"/>
      <c r="E39" s="23"/>
      <c r="F39" s="23"/>
    </row>
    <row r="40" customFormat="false" ht="15" hidden="false" customHeight="true" outlineLevel="0" collapsed="false">
      <c r="A40" s="23" t="s">
        <v>183</v>
      </c>
      <c r="B40" s="23"/>
      <c r="C40" s="23"/>
      <c r="D40" s="23"/>
      <c r="E40" s="23"/>
      <c r="F40" s="23"/>
    </row>
    <row r="41" customFormat="false" ht="15" hidden="false" customHeight="true" outlineLevel="0" collapsed="false">
      <c r="A41" s="23" t="s">
        <v>184</v>
      </c>
      <c r="B41" s="23"/>
      <c r="C41" s="23"/>
      <c r="D41" s="23"/>
      <c r="E41" s="23"/>
      <c r="F41" s="23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</row>
    <row r="43" customFormat="false" ht="15" hidden="false" customHeight="false" outlineLevel="0" collapsed="false">
      <c r="A43" s="4" t="s">
        <v>185</v>
      </c>
      <c r="B43" s="5"/>
      <c r="C43" s="5"/>
      <c r="D43" s="5"/>
      <c r="E43" s="5"/>
      <c r="F43" s="5"/>
    </row>
    <row r="44" customFormat="false" ht="15" hidden="false" customHeight="true" outlineLevel="0" collapsed="false">
      <c r="A44" s="23" t="s">
        <v>186</v>
      </c>
      <c r="B44" s="23"/>
      <c r="C44" s="23"/>
      <c r="D44" s="23"/>
      <c r="E44" s="23"/>
      <c r="F44" s="23"/>
    </row>
    <row r="45" customFormat="false" ht="15" hidden="false" customHeight="true" outlineLevel="0" collapsed="false">
      <c r="A45" s="23" t="s">
        <v>187</v>
      </c>
      <c r="B45" s="23"/>
      <c r="C45" s="23"/>
      <c r="D45" s="23"/>
      <c r="E45" s="23"/>
      <c r="F45" s="23"/>
    </row>
    <row r="46" customFormat="false" ht="15" hidden="false" customHeight="true" outlineLevel="0" collapsed="false">
      <c r="A46" s="23" t="s">
        <v>188</v>
      </c>
      <c r="B46" s="23"/>
      <c r="C46" s="23"/>
      <c r="D46" s="23"/>
      <c r="E46" s="23"/>
      <c r="F46" s="23"/>
    </row>
    <row r="47" customFormat="false" ht="15" hidden="false" customHeight="true" outlineLevel="0" collapsed="false">
      <c r="A47" s="23" t="s">
        <v>189</v>
      </c>
      <c r="B47" s="23"/>
      <c r="C47" s="23"/>
      <c r="D47" s="23"/>
      <c r="E47" s="23"/>
      <c r="F47" s="23"/>
    </row>
    <row r="48" customFormat="false" ht="15" hidden="false" customHeight="true" outlineLevel="0" collapsed="false">
      <c r="A48" s="23" t="s">
        <v>190</v>
      </c>
      <c r="B48" s="23"/>
      <c r="C48" s="23"/>
      <c r="D48" s="23"/>
      <c r="E48" s="23"/>
      <c r="F48" s="23"/>
    </row>
  </sheetData>
  <mergeCells count="41">
    <mergeCell ref="A2:F2"/>
    <mergeCell ref="C5:D5"/>
    <mergeCell ref="E5:F5"/>
    <mergeCell ref="C6:D6"/>
    <mergeCell ref="E6:F6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E13:F13"/>
    <mergeCell ref="C14:D14"/>
    <mergeCell ref="E14:F14"/>
    <mergeCell ref="B30:D30"/>
    <mergeCell ref="E30:F30"/>
    <mergeCell ref="B31:D31"/>
    <mergeCell ref="E31:F31"/>
    <mergeCell ref="B32:D32"/>
    <mergeCell ref="E32:F32"/>
    <mergeCell ref="B33:D33"/>
    <mergeCell ref="E33:F33"/>
    <mergeCell ref="B34:D34"/>
    <mergeCell ref="E34:F34"/>
    <mergeCell ref="A37:F37"/>
    <mergeCell ref="A38:F38"/>
    <mergeCell ref="A39:F39"/>
    <mergeCell ref="A40:F40"/>
    <mergeCell ref="A41:F41"/>
    <mergeCell ref="A44:F44"/>
    <mergeCell ref="A45:F45"/>
    <mergeCell ref="A46:F46"/>
    <mergeCell ref="A47:F47"/>
    <mergeCell ref="A48:F48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48"/>
    <col collapsed="false" customWidth="true" hidden="false" outlineLevel="0" max="4" min="4" style="0" width="22"/>
    <col collapsed="false" customWidth="true" hidden="false" outlineLevel="0" max="5" min="5" style="0" width="36"/>
    <col collapsed="false" customWidth="true" hidden="false" outlineLevel="0" max="6" min="6" style="0" width="18"/>
    <col collapsed="false" customWidth="true" hidden="false" outlineLevel="0" max="7" min="7" style="0" width="8"/>
  </cols>
  <sheetData>
    <row r="1" customFormat="false" ht="19.7" hidden="false" customHeight="false" outlineLevel="0" collapsed="false">
      <c r="A1" s="1" t="s">
        <v>191</v>
      </c>
      <c r="B1" s="2"/>
      <c r="C1" s="2"/>
      <c r="D1" s="2"/>
      <c r="E1" s="2"/>
      <c r="F1" s="2"/>
      <c r="G1" s="2"/>
    </row>
    <row r="2" customFormat="false" ht="30" hidden="false" customHeight="true" outlineLevel="0" collapsed="false">
      <c r="A2" s="3" t="s">
        <v>192</v>
      </c>
      <c r="B2" s="3"/>
      <c r="C2" s="3"/>
      <c r="D2" s="3"/>
      <c r="E2" s="3"/>
      <c r="F2" s="3"/>
      <c r="G2" s="3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9" t="s">
        <v>164</v>
      </c>
      <c r="B4" s="9" t="s">
        <v>193</v>
      </c>
      <c r="C4" s="9" t="s">
        <v>194</v>
      </c>
      <c r="D4" s="9" t="s">
        <v>195</v>
      </c>
      <c r="E4" s="9" t="s">
        <v>196</v>
      </c>
      <c r="F4" s="9" t="s">
        <v>120</v>
      </c>
      <c r="G4" s="9" t="s">
        <v>122</v>
      </c>
    </row>
    <row r="5" customFormat="false" ht="26.85" hidden="false" customHeight="false" outlineLevel="0" collapsed="false">
      <c r="A5" s="22" t="s">
        <v>197</v>
      </c>
      <c r="B5" s="11" t="s">
        <v>198</v>
      </c>
      <c r="C5" s="11" t="s">
        <v>199</v>
      </c>
      <c r="D5" s="12" t="s">
        <v>200</v>
      </c>
      <c r="E5" s="11" t="s">
        <v>201</v>
      </c>
      <c r="F5" s="12" t="s">
        <v>202</v>
      </c>
      <c r="G5" s="20" t="s">
        <v>73</v>
      </c>
    </row>
    <row r="6" customFormat="false" ht="15" hidden="false" customHeight="false" outlineLevel="0" collapsed="false">
      <c r="A6" s="22" t="s">
        <v>197</v>
      </c>
      <c r="B6" s="11" t="s">
        <v>203</v>
      </c>
      <c r="C6" s="11" t="s">
        <v>204</v>
      </c>
      <c r="D6" s="12" t="s">
        <v>205</v>
      </c>
      <c r="E6" s="11" t="s">
        <v>206</v>
      </c>
      <c r="F6" s="12" t="s">
        <v>207</v>
      </c>
      <c r="G6" s="20" t="s">
        <v>73</v>
      </c>
    </row>
    <row r="7" customFormat="false" ht="26.85" hidden="false" customHeight="false" outlineLevel="0" collapsed="false">
      <c r="A7" s="22" t="s">
        <v>197</v>
      </c>
      <c r="B7" s="11" t="s">
        <v>208</v>
      </c>
      <c r="C7" s="11" t="s">
        <v>209</v>
      </c>
      <c r="D7" s="12" t="s">
        <v>210</v>
      </c>
      <c r="E7" s="11" t="s">
        <v>211</v>
      </c>
      <c r="F7" s="12" t="s">
        <v>212</v>
      </c>
      <c r="G7" s="20" t="s">
        <v>73</v>
      </c>
    </row>
    <row r="8" customFormat="false" ht="25.35" hidden="false" customHeight="false" outlineLevel="0" collapsed="false">
      <c r="A8" s="22" t="s">
        <v>197</v>
      </c>
      <c r="B8" s="11" t="s">
        <v>213</v>
      </c>
      <c r="C8" s="11" t="s">
        <v>214</v>
      </c>
      <c r="D8" s="12" t="s">
        <v>215</v>
      </c>
      <c r="E8" s="11" t="s">
        <v>216</v>
      </c>
      <c r="F8" s="12" t="s">
        <v>217</v>
      </c>
      <c r="G8" s="20" t="s">
        <v>73</v>
      </c>
    </row>
    <row r="9" customFormat="false" ht="15" hidden="false" customHeight="false" outlineLevel="0" collapsed="false">
      <c r="A9" s="22" t="s">
        <v>197</v>
      </c>
      <c r="B9" s="11" t="s">
        <v>218</v>
      </c>
      <c r="C9" s="12" t="s">
        <v>219</v>
      </c>
      <c r="D9" s="12" t="s">
        <v>220</v>
      </c>
      <c r="E9" s="11" t="s">
        <v>221</v>
      </c>
      <c r="F9" s="12" t="s">
        <v>222</v>
      </c>
      <c r="G9" s="20" t="s">
        <v>73</v>
      </c>
    </row>
    <row r="10" customFormat="false" ht="26.85" hidden="false" customHeight="false" outlineLevel="0" collapsed="false">
      <c r="A10" s="22" t="s">
        <v>223</v>
      </c>
      <c r="B10" s="11" t="s">
        <v>224</v>
      </c>
      <c r="C10" s="11" t="s">
        <v>225</v>
      </c>
      <c r="D10" s="11" t="s">
        <v>226</v>
      </c>
      <c r="E10" s="11" t="s">
        <v>227</v>
      </c>
      <c r="F10" s="12" t="s">
        <v>228</v>
      </c>
      <c r="G10" s="20" t="s">
        <v>73</v>
      </c>
    </row>
    <row r="11" customFormat="false" ht="26.85" hidden="false" customHeight="false" outlineLevel="0" collapsed="false">
      <c r="A11" s="22" t="s">
        <v>223</v>
      </c>
      <c r="B11" s="11" t="s">
        <v>229</v>
      </c>
      <c r="C11" s="11" t="s">
        <v>230</v>
      </c>
      <c r="D11" s="11" t="s">
        <v>231</v>
      </c>
      <c r="E11" s="11" t="s">
        <v>232</v>
      </c>
      <c r="F11" s="12" t="s">
        <v>233</v>
      </c>
      <c r="G11" s="20" t="s">
        <v>73</v>
      </c>
    </row>
    <row r="12" customFormat="false" ht="15" hidden="false" customHeight="false" outlineLevel="0" collapsed="false">
      <c r="A12" s="22" t="s">
        <v>223</v>
      </c>
      <c r="B12" s="11" t="s">
        <v>234</v>
      </c>
      <c r="C12" s="11" t="s">
        <v>235</v>
      </c>
      <c r="D12" s="11" t="s">
        <v>236</v>
      </c>
      <c r="E12" s="11" t="s">
        <v>237</v>
      </c>
      <c r="F12" s="12" t="s">
        <v>238</v>
      </c>
      <c r="G12" s="20" t="s">
        <v>73</v>
      </c>
    </row>
    <row r="13" customFormat="false" ht="26.85" hidden="false" customHeight="false" outlineLevel="0" collapsed="false">
      <c r="A13" s="22" t="s">
        <v>223</v>
      </c>
      <c r="B13" s="11" t="s">
        <v>239</v>
      </c>
      <c r="C13" s="11" t="s">
        <v>240</v>
      </c>
      <c r="D13" s="11" t="s">
        <v>241</v>
      </c>
      <c r="E13" s="11" t="s">
        <v>242</v>
      </c>
      <c r="F13" s="12" t="s">
        <v>243</v>
      </c>
      <c r="G13" s="20" t="s">
        <v>73</v>
      </c>
    </row>
    <row r="14" customFormat="false" ht="15" hidden="false" customHeight="false" outlineLevel="0" collapsed="false">
      <c r="A14" s="22" t="s">
        <v>223</v>
      </c>
      <c r="B14" s="11" t="s">
        <v>244</v>
      </c>
      <c r="C14" s="11" t="s">
        <v>245</v>
      </c>
      <c r="D14" s="11" t="s">
        <v>246</v>
      </c>
      <c r="E14" s="11" t="s">
        <v>247</v>
      </c>
      <c r="F14" s="12" t="s">
        <v>248</v>
      </c>
      <c r="G14" s="20" t="s">
        <v>73</v>
      </c>
    </row>
    <row r="15" customFormat="false" ht="15" hidden="false" customHeight="false" outlineLevel="0" collapsed="false">
      <c r="A15" s="22" t="s">
        <v>223</v>
      </c>
      <c r="B15" s="11" t="s">
        <v>249</v>
      </c>
      <c r="C15" s="11" t="s">
        <v>250</v>
      </c>
      <c r="D15" s="11" t="s">
        <v>251</v>
      </c>
      <c r="E15" s="11" t="s">
        <v>252</v>
      </c>
      <c r="F15" s="12" t="s">
        <v>253</v>
      </c>
      <c r="G15" s="20" t="s">
        <v>73</v>
      </c>
    </row>
    <row r="16" customFormat="false" ht="26.85" hidden="false" customHeight="false" outlineLevel="0" collapsed="false">
      <c r="A16" s="22" t="s">
        <v>223</v>
      </c>
      <c r="B16" s="11" t="s">
        <v>254</v>
      </c>
      <c r="C16" s="11" t="s">
        <v>255</v>
      </c>
      <c r="D16" s="11" t="s">
        <v>256</v>
      </c>
      <c r="E16" s="11" t="s">
        <v>257</v>
      </c>
      <c r="F16" s="12" t="s">
        <v>258</v>
      </c>
      <c r="G16" s="20" t="s">
        <v>73</v>
      </c>
    </row>
    <row r="17" customFormat="false" ht="15" hidden="false" customHeight="false" outlineLevel="0" collapsed="false">
      <c r="A17" s="22" t="s">
        <v>223</v>
      </c>
      <c r="B17" s="11" t="s">
        <v>259</v>
      </c>
      <c r="C17" s="11" t="s">
        <v>260</v>
      </c>
      <c r="D17" s="11" t="s">
        <v>261</v>
      </c>
      <c r="E17" s="11" t="s">
        <v>262</v>
      </c>
      <c r="F17" s="12" t="s">
        <v>263</v>
      </c>
      <c r="G17" s="20" t="s">
        <v>73</v>
      </c>
    </row>
    <row r="18" customFormat="false" ht="39.55" hidden="false" customHeight="false" outlineLevel="0" collapsed="false">
      <c r="A18" s="22" t="s">
        <v>264</v>
      </c>
      <c r="B18" s="12" t="s">
        <v>265</v>
      </c>
      <c r="C18" s="11" t="s">
        <v>266</v>
      </c>
      <c r="D18" s="12" t="s">
        <v>267</v>
      </c>
      <c r="E18" s="11" t="s">
        <v>268</v>
      </c>
      <c r="F18" s="12" t="s">
        <v>269</v>
      </c>
      <c r="G18" s="21" t="s">
        <v>75</v>
      </c>
    </row>
  </sheetData>
  <mergeCells count="1">
    <mergeCell ref="A2:G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44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9" min="9" style="0" width="8"/>
  </cols>
  <sheetData>
    <row r="1" customFormat="false" ht="19.7" hidden="false" customHeight="false" outlineLevel="0" collapsed="false">
      <c r="A1" s="1" t="s">
        <v>270</v>
      </c>
      <c r="B1" s="2"/>
      <c r="C1" s="2"/>
      <c r="D1" s="2"/>
      <c r="E1" s="2"/>
      <c r="F1" s="2"/>
      <c r="G1" s="2"/>
      <c r="H1" s="2"/>
      <c r="I1" s="2"/>
    </row>
    <row r="2" customFormat="false" ht="30" hidden="false" customHeight="true" outlineLevel="0" collapsed="false">
      <c r="A2" s="3" t="s">
        <v>271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9" t="s">
        <v>272</v>
      </c>
      <c r="B4" s="9" t="s">
        <v>273</v>
      </c>
      <c r="C4" s="9" t="s">
        <v>274</v>
      </c>
      <c r="D4" s="9" t="s">
        <v>275</v>
      </c>
      <c r="E4" s="9" t="s">
        <v>276</v>
      </c>
      <c r="F4" s="8" t="s">
        <v>277</v>
      </c>
      <c r="G4" s="9" t="s">
        <v>278</v>
      </c>
      <c r="H4" s="9" t="s">
        <v>120</v>
      </c>
      <c r="I4" s="9" t="s">
        <v>122</v>
      </c>
    </row>
    <row r="5" customFormat="false" ht="26.85" hidden="false" customHeight="false" outlineLevel="0" collapsed="false">
      <c r="A5" s="11" t="s">
        <v>279</v>
      </c>
      <c r="B5" s="11" t="s">
        <v>280</v>
      </c>
      <c r="C5" s="11" t="s">
        <v>281</v>
      </c>
      <c r="D5" s="11" t="s">
        <v>282</v>
      </c>
      <c r="E5" s="11" t="s">
        <v>283</v>
      </c>
      <c r="F5" s="12" t="s">
        <v>284</v>
      </c>
      <c r="G5" s="12" t="s">
        <v>285</v>
      </c>
      <c r="H5" s="12" t="s">
        <v>286</v>
      </c>
      <c r="I5" s="20" t="s">
        <v>73</v>
      </c>
    </row>
    <row r="6" customFormat="false" ht="39.55" hidden="false" customHeight="false" outlineLevel="0" collapsed="false">
      <c r="A6" s="11" t="s">
        <v>287</v>
      </c>
      <c r="B6" s="11" t="s">
        <v>288</v>
      </c>
      <c r="C6" s="12" t="s">
        <v>289</v>
      </c>
      <c r="D6" s="11" t="s">
        <v>290</v>
      </c>
      <c r="E6" s="11" t="s">
        <v>291</v>
      </c>
      <c r="F6" s="12" t="s">
        <v>292</v>
      </c>
      <c r="G6" s="11" t="s">
        <v>293</v>
      </c>
      <c r="H6" s="12" t="s">
        <v>294</v>
      </c>
      <c r="I6" s="20" t="s">
        <v>73</v>
      </c>
    </row>
    <row r="7" customFormat="false" ht="39.55" hidden="false" customHeight="false" outlineLevel="0" collapsed="false">
      <c r="A7" s="11" t="s">
        <v>295</v>
      </c>
      <c r="B7" s="11" t="s">
        <v>296</v>
      </c>
      <c r="C7" s="12" t="s">
        <v>297</v>
      </c>
      <c r="D7" s="11" t="s">
        <v>298</v>
      </c>
      <c r="E7" s="11" t="s">
        <v>298</v>
      </c>
      <c r="F7" s="12" t="s">
        <v>299</v>
      </c>
      <c r="G7" s="11" t="s">
        <v>300</v>
      </c>
      <c r="H7" s="12" t="s">
        <v>301</v>
      </c>
      <c r="I7" s="20" t="s">
        <v>73</v>
      </c>
    </row>
    <row r="8" customFormat="false" ht="39.55" hidden="false" customHeight="false" outlineLevel="0" collapsed="false">
      <c r="A8" s="11" t="s">
        <v>302</v>
      </c>
      <c r="B8" s="11" t="s">
        <v>303</v>
      </c>
      <c r="C8" s="11" t="s">
        <v>304</v>
      </c>
      <c r="D8" s="12" t="s">
        <v>267</v>
      </c>
      <c r="E8" s="11" t="s">
        <v>283</v>
      </c>
      <c r="F8" s="11" t="s">
        <v>305</v>
      </c>
      <c r="G8" s="11" t="s">
        <v>306</v>
      </c>
      <c r="H8" s="12" t="s">
        <v>307</v>
      </c>
      <c r="I8" s="20" t="s">
        <v>73</v>
      </c>
    </row>
    <row r="9" customFormat="false" ht="52.2" hidden="false" customHeight="false" outlineLevel="0" collapsed="false">
      <c r="A9" s="11" t="s">
        <v>308</v>
      </c>
      <c r="B9" s="11" t="s">
        <v>309</v>
      </c>
      <c r="C9" s="11" t="s">
        <v>310</v>
      </c>
      <c r="D9" s="11" t="s">
        <v>311</v>
      </c>
      <c r="E9" s="11" t="s">
        <v>312</v>
      </c>
      <c r="F9" s="12" t="s">
        <v>313</v>
      </c>
      <c r="G9" s="11" t="s">
        <v>314</v>
      </c>
      <c r="H9" s="12" t="s">
        <v>315</v>
      </c>
      <c r="I9" s="20" t="s">
        <v>73</v>
      </c>
    </row>
    <row r="10" customFormat="false" ht="26.85" hidden="false" customHeight="false" outlineLevel="0" collapsed="false">
      <c r="A10" s="11" t="s">
        <v>316</v>
      </c>
      <c r="B10" s="11" t="s">
        <v>317</v>
      </c>
      <c r="C10" s="11" t="s">
        <v>318</v>
      </c>
      <c r="D10" s="11" t="s">
        <v>319</v>
      </c>
      <c r="E10" s="11" t="s">
        <v>283</v>
      </c>
      <c r="F10" s="12" t="s">
        <v>320</v>
      </c>
      <c r="G10" s="11" t="s">
        <v>321</v>
      </c>
      <c r="H10" s="12" t="s">
        <v>322</v>
      </c>
      <c r="I10" s="21" t="s">
        <v>75</v>
      </c>
    </row>
    <row r="11" customFormat="false" ht="26.85" hidden="false" customHeight="false" outlineLevel="0" collapsed="false">
      <c r="A11" s="11" t="s">
        <v>323</v>
      </c>
      <c r="B11" s="11" t="s">
        <v>324</v>
      </c>
      <c r="C11" s="11" t="s">
        <v>325</v>
      </c>
      <c r="D11" s="11" t="s">
        <v>326</v>
      </c>
      <c r="E11" s="11" t="s">
        <v>327</v>
      </c>
      <c r="F11" s="12" t="s">
        <v>328</v>
      </c>
      <c r="G11" s="11" t="s">
        <v>329</v>
      </c>
      <c r="H11" s="12" t="s">
        <v>330</v>
      </c>
      <c r="I11" s="20" t="s">
        <v>73</v>
      </c>
    </row>
    <row r="12" customFormat="false" ht="26.85" hidden="false" customHeight="false" outlineLevel="0" collapsed="false">
      <c r="A12" s="11" t="s">
        <v>331</v>
      </c>
      <c r="B12" s="11" t="s">
        <v>332</v>
      </c>
      <c r="C12" s="11" t="s">
        <v>333</v>
      </c>
      <c r="D12" s="11" t="s">
        <v>334</v>
      </c>
      <c r="E12" s="11" t="s">
        <v>283</v>
      </c>
      <c r="F12" s="12" t="s">
        <v>335</v>
      </c>
      <c r="G12" s="12" t="s">
        <v>336</v>
      </c>
      <c r="H12" s="12" t="s">
        <v>337</v>
      </c>
      <c r="I12" s="20" t="s">
        <v>73</v>
      </c>
    </row>
    <row r="13" customFormat="false" ht="39.55" hidden="false" customHeight="false" outlineLevel="0" collapsed="false">
      <c r="A13" s="11" t="s">
        <v>338</v>
      </c>
      <c r="B13" s="11" t="s">
        <v>339</v>
      </c>
      <c r="C13" s="11" t="s">
        <v>340</v>
      </c>
      <c r="D13" s="11" t="s">
        <v>341</v>
      </c>
      <c r="E13" s="11" t="s">
        <v>283</v>
      </c>
      <c r="F13" s="11" t="s">
        <v>342</v>
      </c>
      <c r="G13" s="12" t="s">
        <v>343</v>
      </c>
      <c r="H13" s="12" t="s">
        <v>344</v>
      </c>
      <c r="I13" s="20" t="s">
        <v>73</v>
      </c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</row>
    <row r="15" customFormat="false" ht="15" hidden="false" customHeight="true" outlineLevel="0" collapsed="false">
      <c r="A15" s="3" t="s">
        <v>345</v>
      </c>
      <c r="B15" s="3"/>
      <c r="C15" s="3"/>
      <c r="D15" s="3"/>
      <c r="E15" s="3"/>
      <c r="F15" s="3"/>
      <c r="G15" s="3"/>
      <c r="H15" s="3"/>
      <c r="I15" s="3"/>
    </row>
  </sheetData>
  <mergeCells count="2">
    <mergeCell ref="A2:I2"/>
    <mergeCell ref="A15:I15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4" min="3" style="0" width="30"/>
    <col collapsed="false" customWidth="true" hidden="false" outlineLevel="0" max="5" min="5" style="0" width="13"/>
    <col collapsed="false" customWidth="true" hidden="false" outlineLevel="0" max="8" min="6" style="0" width="11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40"/>
    <col collapsed="false" customWidth="true" hidden="false" outlineLevel="0" max="12" min="12" style="0" width="34"/>
    <col collapsed="false" customWidth="true" hidden="false" outlineLevel="0" max="13" min="13" style="0" width="8"/>
  </cols>
  <sheetData>
    <row r="1" customFormat="false" ht="20.85" hidden="false" customHeight="false" outlineLevel="0" collapsed="false">
      <c r="A1" s="1" t="s">
        <v>346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30" hidden="false" customHeight="true" outlineLevel="0" collapsed="false">
      <c r="A2" s="3" t="s">
        <v>347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26.85" hidden="false" customHeight="false" outlineLevel="0" collapsed="false">
      <c r="A4" s="8" t="s">
        <v>8</v>
      </c>
      <c r="B4" s="8" t="s">
        <v>348</v>
      </c>
      <c r="C4" s="9" t="s">
        <v>349</v>
      </c>
      <c r="D4" s="8" t="s">
        <v>350</v>
      </c>
      <c r="E4" s="9" t="s">
        <v>351</v>
      </c>
      <c r="F4" s="9" t="s">
        <v>352</v>
      </c>
      <c r="G4" s="9" t="s">
        <v>353</v>
      </c>
      <c r="H4" s="9" t="s">
        <v>354</v>
      </c>
      <c r="I4" s="9" t="s">
        <v>355</v>
      </c>
      <c r="J4" s="9" t="s">
        <v>120</v>
      </c>
      <c r="K4" s="9" t="s">
        <v>356</v>
      </c>
      <c r="L4" s="9" t="s">
        <v>357</v>
      </c>
      <c r="M4" s="9" t="s">
        <v>122</v>
      </c>
    </row>
    <row r="5" customFormat="false" ht="15" hidden="false" customHeight="false" outlineLevel="0" collapsed="false">
      <c r="A5" s="10" t="n">
        <v>1</v>
      </c>
      <c r="B5" s="12" t="s">
        <v>358</v>
      </c>
      <c r="C5" s="11" t="s">
        <v>359</v>
      </c>
      <c r="D5" s="12" t="s">
        <v>360</v>
      </c>
      <c r="E5" s="11" t="s">
        <v>361</v>
      </c>
      <c r="F5" s="24" t="n">
        <v>0.15</v>
      </c>
      <c r="G5" s="24" t="n">
        <v>0.2</v>
      </c>
      <c r="H5" s="11" t="s">
        <v>362</v>
      </c>
      <c r="I5" s="25" t="n">
        <f aca="false">IF(AND(ISNUMBER(F5),ISNUMBER(G5)),(1+F5)*(1+G5)-1,"—")</f>
        <v>0.38</v>
      </c>
      <c r="J5" s="12" t="s">
        <v>363</v>
      </c>
      <c r="K5" s="11" t="s">
        <v>364</v>
      </c>
      <c r="L5" s="26" t="s">
        <v>365</v>
      </c>
      <c r="M5" s="20" t="s">
        <v>73</v>
      </c>
    </row>
    <row r="6" customFormat="false" ht="26.85" hidden="false" customHeight="false" outlineLevel="0" collapsed="false">
      <c r="A6" s="10" t="n">
        <v>2</v>
      </c>
      <c r="B6" s="12" t="s">
        <v>366</v>
      </c>
      <c r="C6" s="11" t="s">
        <v>367</v>
      </c>
      <c r="D6" s="12" t="s">
        <v>368</v>
      </c>
      <c r="E6" s="11" t="s">
        <v>361</v>
      </c>
      <c r="F6" s="24" t="n">
        <v>0.15</v>
      </c>
      <c r="G6" s="24" t="n">
        <v>0.2</v>
      </c>
      <c r="H6" s="11" t="s">
        <v>362</v>
      </c>
      <c r="I6" s="25" t="n">
        <f aca="false">IF(AND(ISNUMBER(F6),ISNUMBER(G6)),(1+F6)*(1+G6)-1,"—")</f>
        <v>0.38</v>
      </c>
      <c r="J6" s="12" t="s">
        <v>369</v>
      </c>
      <c r="K6" s="11" t="s">
        <v>370</v>
      </c>
      <c r="L6" s="26" t="s">
        <v>371</v>
      </c>
      <c r="M6" s="20" t="s">
        <v>73</v>
      </c>
    </row>
    <row r="7" customFormat="false" ht="26.85" hidden="false" customHeight="false" outlineLevel="0" collapsed="false">
      <c r="A7" s="10" t="n">
        <v>3</v>
      </c>
      <c r="B7" s="12" t="s">
        <v>372</v>
      </c>
      <c r="C7" s="11" t="s">
        <v>373</v>
      </c>
      <c r="D7" s="12" t="s">
        <v>374</v>
      </c>
      <c r="E7" s="11" t="s">
        <v>361</v>
      </c>
      <c r="F7" s="24" t="n">
        <v>0.15</v>
      </c>
      <c r="G7" s="24" t="n">
        <v>0.2</v>
      </c>
      <c r="H7" s="11" t="s">
        <v>362</v>
      </c>
      <c r="I7" s="25" t="n">
        <f aca="false">IF(AND(ISNUMBER(F7),ISNUMBER(G7)),(1+F7)*(1+G7)-1,"—")</f>
        <v>0.38</v>
      </c>
      <c r="J7" s="12" t="s">
        <v>375</v>
      </c>
      <c r="K7" s="12" t="s">
        <v>376</v>
      </c>
      <c r="L7" s="26" t="s">
        <v>377</v>
      </c>
      <c r="M7" s="20" t="s">
        <v>73</v>
      </c>
    </row>
    <row r="8" customFormat="false" ht="15" hidden="false" customHeight="false" outlineLevel="0" collapsed="false">
      <c r="A8" s="10" t="n">
        <v>4</v>
      </c>
      <c r="B8" s="12" t="s">
        <v>378</v>
      </c>
      <c r="C8" s="11" t="s">
        <v>379</v>
      </c>
      <c r="D8" s="12" t="s">
        <v>380</v>
      </c>
      <c r="E8" s="11" t="s">
        <v>361</v>
      </c>
      <c r="F8" s="24" t="n">
        <v>0</v>
      </c>
      <c r="G8" s="24" t="n">
        <v>0.2</v>
      </c>
      <c r="H8" s="11" t="s">
        <v>362</v>
      </c>
      <c r="I8" s="25" t="n">
        <f aca="false">IF(AND(ISNUMBER(F8),ISNUMBER(G8)),(1+F8)*(1+G8)-1,"—")</f>
        <v>0.2</v>
      </c>
      <c r="J8" s="12" t="s">
        <v>381</v>
      </c>
      <c r="K8" s="11" t="s">
        <v>382</v>
      </c>
      <c r="L8" s="26" t="s">
        <v>383</v>
      </c>
      <c r="M8" s="21" t="s">
        <v>75</v>
      </c>
    </row>
    <row r="9" customFormat="false" ht="15" hidden="false" customHeight="false" outlineLevel="0" collapsed="false">
      <c r="A9" s="10" t="n">
        <v>5</v>
      </c>
      <c r="B9" s="12" t="s">
        <v>384</v>
      </c>
      <c r="C9" s="11" t="s">
        <v>385</v>
      </c>
      <c r="D9" s="12" t="s">
        <v>380</v>
      </c>
      <c r="E9" s="11" t="s">
        <v>361</v>
      </c>
      <c r="F9" s="24" t="n">
        <v>0</v>
      </c>
      <c r="G9" s="24" t="n">
        <v>0.2</v>
      </c>
      <c r="H9" s="11" t="s">
        <v>362</v>
      </c>
      <c r="I9" s="25" t="n">
        <f aca="false">IF(AND(ISNUMBER(F9),ISNUMBER(G9)),(1+F9)*(1+G9)-1,"—")</f>
        <v>0.2</v>
      </c>
      <c r="J9" s="12" t="s">
        <v>381</v>
      </c>
      <c r="K9" s="12"/>
      <c r="L9" s="26" t="s">
        <v>386</v>
      </c>
      <c r="M9" s="21" t="s">
        <v>75</v>
      </c>
    </row>
    <row r="10" customFormat="false" ht="15" hidden="false" customHeight="false" outlineLevel="0" collapsed="false">
      <c r="A10" s="10" t="n">
        <v>6</v>
      </c>
      <c r="B10" s="12" t="s">
        <v>387</v>
      </c>
      <c r="C10" s="11" t="s">
        <v>388</v>
      </c>
      <c r="D10" s="12" t="s">
        <v>297</v>
      </c>
      <c r="E10" s="11" t="s">
        <v>361</v>
      </c>
      <c r="F10" s="24" t="n">
        <v>0.1</v>
      </c>
      <c r="G10" s="24" t="n">
        <v>0.2</v>
      </c>
      <c r="H10" s="11" t="s">
        <v>362</v>
      </c>
      <c r="I10" s="25" t="n">
        <f aca="false">IF(AND(ISNUMBER(F10),ISNUMBER(G10)),(1+F10)*(1+G10)-1,"—")</f>
        <v>0.32</v>
      </c>
      <c r="J10" s="12" t="s">
        <v>381</v>
      </c>
      <c r="K10" s="11" t="s">
        <v>389</v>
      </c>
      <c r="L10" s="26" t="s">
        <v>390</v>
      </c>
      <c r="M10" s="21" t="s">
        <v>75</v>
      </c>
    </row>
    <row r="11" customFormat="false" ht="15" hidden="false" customHeight="false" outlineLevel="0" collapsed="false">
      <c r="A11" s="10" t="n">
        <v>7</v>
      </c>
      <c r="B11" s="12" t="s">
        <v>391</v>
      </c>
      <c r="C11" s="11" t="s">
        <v>392</v>
      </c>
      <c r="D11" s="12" t="s">
        <v>393</v>
      </c>
      <c r="E11" s="11" t="s">
        <v>361</v>
      </c>
      <c r="F11" s="24" t="n">
        <v>0.12</v>
      </c>
      <c r="G11" s="24" t="n">
        <v>0.2</v>
      </c>
      <c r="H11" s="11" t="s">
        <v>362</v>
      </c>
      <c r="I11" s="25" t="n">
        <f aca="false">IF(AND(ISNUMBER(F11),ISNUMBER(G11)),(1+F11)*(1+G11)-1,"—")</f>
        <v>0.344</v>
      </c>
      <c r="J11" s="12" t="s">
        <v>381</v>
      </c>
      <c r="K11" s="12"/>
      <c r="L11" s="26" t="s">
        <v>394</v>
      </c>
      <c r="M11" s="21" t="s">
        <v>75</v>
      </c>
    </row>
    <row r="12" customFormat="false" ht="15" hidden="false" customHeight="false" outlineLevel="0" collapsed="false">
      <c r="A12" s="10" t="n">
        <v>8</v>
      </c>
      <c r="B12" s="12" t="s">
        <v>395</v>
      </c>
      <c r="C12" s="11" t="s">
        <v>396</v>
      </c>
      <c r="D12" s="12" t="s">
        <v>397</v>
      </c>
      <c r="E12" s="11" t="s">
        <v>361</v>
      </c>
      <c r="F12" s="24" t="n">
        <v>0</v>
      </c>
      <c r="G12" s="24" t="n">
        <v>0.2</v>
      </c>
      <c r="H12" s="11" t="s">
        <v>362</v>
      </c>
      <c r="I12" s="25" t="n">
        <f aca="false">IF(AND(ISNUMBER(F12),ISNUMBER(G12)),(1+F12)*(1+G12)-1,"—")</f>
        <v>0.2</v>
      </c>
      <c r="J12" s="12" t="s">
        <v>381</v>
      </c>
      <c r="K12" s="11" t="s">
        <v>398</v>
      </c>
      <c r="L12" s="26" t="s">
        <v>399</v>
      </c>
      <c r="M12" s="27" t="s">
        <v>77</v>
      </c>
    </row>
    <row r="13" customFormat="false" ht="15" hidden="false" customHeight="false" outlineLevel="0" collapsed="false">
      <c r="A13" s="10" t="n">
        <v>9</v>
      </c>
      <c r="B13" s="12" t="s">
        <v>400</v>
      </c>
      <c r="C13" s="11" t="s">
        <v>401</v>
      </c>
      <c r="D13" s="12" t="s">
        <v>402</v>
      </c>
      <c r="E13" s="11" t="s">
        <v>361</v>
      </c>
      <c r="F13" s="24" t="n">
        <v>0.05</v>
      </c>
      <c r="G13" s="24" t="n">
        <v>0.2</v>
      </c>
      <c r="H13" s="11" t="s">
        <v>362</v>
      </c>
      <c r="I13" s="25" t="n">
        <f aca="false">IF(AND(ISNUMBER(F13),ISNUMBER(G13)),(1+F13)*(1+G13)-1,"—")</f>
        <v>0.26</v>
      </c>
      <c r="J13" s="12" t="s">
        <v>381</v>
      </c>
      <c r="K13" s="11" t="s">
        <v>403</v>
      </c>
      <c r="L13" s="26" t="s">
        <v>404</v>
      </c>
      <c r="M13" s="21" t="s">
        <v>75</v>
      </c>
    </row>
    <row r="14" customFormat="false" ht="15" hidden="false" customHeight="false" outlineLevel="0" collapsed="false">
      <c r="A14" s="10" t="n">
        <v>10</v>
      </c>
      <c r="B14" s="12" t="s">
        <v>405</v>
      </c>
      <c r="C14" s="11" t="s">
        <v>406</v>
      </c>
      <c r="D14" s="12" t="s">
        <v>297</v>
      </c>
      <c r="E14" s="11" t="s">
        <v>361</v>
      </c>
      <c r="F14" s="24" t="n">
        <v>0.1</v>
      </c>
      <c r="G14" s="24" t="n">
        <v>0.2</v>
      </c>
      <c r="H14" s="11" t="s">
        <v>362</v>
      </c>
      <c r="I14" s="25" t="n">
        <f aca="false">IF(AND(ISNUMBER(F14),ISNUMBER(G14)),(1+F14)*(1+G14)-1,"—")</f>
        <v>0.32</v>
      </c>
      <c r="J14" s="12" t="s">
        <v>381</v>
      </c>
      <c r="K14" s="11" t="s">
        <v>407</v>
      </c>
      <c r="L14" s="26" t="s">
        <v>408</v>
      </c>
      <c r="M14" s="21" t="s">
        <v>75</v>
      </c>
    </row>
    <row r="15" customFormat="false" ht="15" hidden="false" customHeight="false" outlineLevel="0" collapsed="false">
      <c r="A15" s="10" t="n">
        <v>11</v>
      </c>
      <c r="B15" s="12" t="s">
        <v>409</v>
      </c>
      <c r="C15" s="11" t="s">
        <v>410</v>
      </c>
      <c r="D15" s="12" t="s">
        <v>411</v>
      </c>
      <c r="E15" s="11" t="s">
        <v>361</v>
      </c>
      <c r="F15" s="24" t="n">
        <v>0.065</v>
      </c>
      <c r="G15" s="24" t="n">
        <v>0.2</v>
      </c>
      <c r="H15" s="11" t="s">
        <v>362</v>
      </c>
      <c r="I15" s="25" t="n">
        <f aca="false">IF(AND(ISNUMBER(F15),ISNUMBER(G15)),(1+F15)*(1+G15)-1,"—")</f>
        <v>0.278</v>
      </c>
      <c r="J15" s="12" t="s">
        <v>381</v>
      </c>
      <c r="K15" s="12"/>
      <c r="L15" s="26" t="s">
        <v>412</v>
      </c>
      <c r="M15" s="21" t="s">
        <v>75</v>
      </c>
    </row>
    <row r="16" customFormat="false" ht="15" hidden="false" customHeight="false" outlineLevel="0" collapsed="false">
      <c r="A16" s="10" t="n">
        <v>12</v>
      </c>
      <c r="B16" s="12" t="s">
        <v>413</v>
      </c>
      <c r="C16" s="11" t="s">
        <v>414</v>
      </c>
      <c r="D16" s="12" t="s">
        <v>415</v>
      </c>
      <c r="E16" s="11" t="s">
        <v>361</v>
      </c>
      <c r="F16" s="24" t="n">
        <v>0.03</v>
      </c>
      <c r="G16" s="11" t="s">
        <v>416</v>
      </c>
      <c r="H16" s="11" t="s">
        <v>362</v>
      </c>
      <c r="I16" s="25" t="str">
        <f aca="false">IF(AND(ISNUMBER(F16),ISNUMBER(G16)),(1+F16)*(1+G16)-1,"—")</f>
        <v>—</v>
      </c>
      <c r="J16" s="12" t="s">
        <v>381</v>
      </c>
      <c r="K16" s="11" t="s">
        <v>417</v>
      </c>
      <c r="L16" s="26" t="s">
        <v>418</v>
      </c>
      <c r="M16" s="21" t="s">
        <v>75</v>
      </c>
    </row>
    <row r="17" customFormat="false" ht="15" hidden="false" customHeight="false" outlineLevel="0" collapsed="false">
      <c r="A17" s="10" t="n">
        <v>13</v>
      </c>
      <c r="B17" s="12" t="s">
        <v>419</v>
      </c>
      <c r="C17" s="11" t="s">
        <v>420</v>
      </c>
      <c r="D17" s="12" t="s">
        <v>380</v>
      </c>
      <c r="E17" s="11" t="s">
        <v>361</v>
      </c>
      <c r="F17" s="24" t="n">
        <v>0</v>
      </c>
      <c r="G17" s="24" t="n">
        <v>0.2</v>
      </c>
      <c r="H17" s="11" t="s">
        <v>362</v>
      </c>
      <c r="I17" s="25" t="n">
        <f aca="false">IF(AND(ISNUMBER(F17),ISNUMBER(G17)),(1+F17)*(1+G17)-1,"—")</f>
        <v>0.2</v>
      </c>
      <c r="J17" s="12" t="s">
        <v>381</v>
      </c>
      <c r="K17" s="12"/>
      <c r="L17" s="26" t="s">
        <v>421</v>
      </c>
      <c r="M17" s="21" t="s">
        <v>75</v>
      </c>
    </row>
    <row r="18" customFormat="false" ht="15" hidden="false" customHeight="false" outlineLevel="0" collapsed="false">
      <c r="A18" s="10" t="n">
        <v>14</v>
      </c>
      <c r="B18" s="12" t="s">
        <v>422</v>
      </c>
      <c r="C18" s="11" t="s">
        <v>423</v>
      </c>
      <c r="D18" s="12" t="s">
        <v>297</v>
      </c>
      <c r="E18" s="11" t="s">
        <v>361</v>
      </c>
      <c r="F18" s="24" t="n">
        <v>0.1</v>
      </c>
      <c r="G18" s="24" t="n">
        <v>0.2</v>
      </c>
      <c r="H18" s="11" t="s">
        <v>362</v>
      </c>
      <c r="I18" s="25" t="n">
        <f aca="false">IF(AND(ISNUMBER(F18),ISNUMBER(G18)),(1+F18)*(1+G18)-1,"—")</f>
        <v>0.32</v>
      </c>
      <c r="J18" s="12" t="s">
        <v>424</v>
      </c>
      <c r="K18" s="11" t="s">
        <v>425</v>
      </c>
      <c r="L18" s="26" t="s">
        <v>426</v>
      </c>
      <c r="M18" s="21" t="s">
        <v>75</v>
      </c>
    </row>
    <row r="19" customFormat="false" ht="26.85" hidden="false" customHeight="false" outlineLevel="0" collapsed="false">
      <c r="A19" s="10" t="n">
        <v>15</v>
      </c>
      <c r="B19" s="12" t="s">
        <v>427</v>
      </c>
      <c r="C19" s="11" t="s">
        <v>428</v>
      </c>
      <c r="D19" s="12" t="s">
        <v>429</v>
      </c>
      <c r="E19" s="11" t="s">
        <v>430</v>
      </c>
      <c r="F19" s="24" t="n">
        <v>0.125</v>
      </c>
      <c r="G19" s="11" t="s">
        <v>416</v>
      </c>
      <c r="H19" s="11" t="s">
        <v>362</v>
      </c>
      <c r="I19" s="25" t="str">
        <f aca="false">IF(AND(ISNUMBER(F19),ISNUMBER(G19)),(1+F19)*(1+G19)-1,"—")</f>
        <v>—</v>
      </c>
      <c r="J19" s="12" t="s">
        <v>381</v>
      </c>
      <c r="K19" s="11" t="s">
        <v>431</v>
      </c>
      <c r="L19" s="26" t="s">
        <v>432</v>
      </c>
      <c r="M19" s="21" t="s">
        <v>75</v>
      </c>
    </row>
    <row r="20" customFormat="false" ht="15" hidden="false" customHeight="false" outlineLevel="0" collapsed="false">
      <c r="A20" s="10" t="n">
        <v>16</v>
      </c>
      <c r="B20" s="12" t="s">
        <v>433</v>
      </c>
      <c r="C20" s="11" t="s">
        <v>434</v>
      </c>
      <c r="D20" s="12" t="s">
        <v>380</v>
      </c>
      <c r="E20" s="11" t="s">
        <v>361</v>
      </c>
      <c r="F20" s="24" t="n">
        <v>0</v>
      </c>
      <c r="G20" s="11" t="s">
        <v>416</v>
      </c>
      <c r="H20" s="11" t="s">
        <v>362</v>
      </c>
      <c r="I20" s="25" t="str">
        <f aca="false">IF(AND(ISNUMBER(F20),ISNUMBER(G20)),(1+F20)*(1+G20)-1,"—")</f>
        <v>—</v>
      </c>
      <c r="J20" s="12" t="s">
        <v>381</v>
      </c>
      <c r="K20" s="12"/>
      <c r="L20" s="26" t="s">
        <v>435</v>
      </c>
      <c r="M20" s="21" t="s">
        <v>75</v>
      </c>
    </row>
    <row r="21" customFormat="false" ht="15" hidden="false" customHeight="false" outlineLevel="0" collapsed="false">
      <c r="A21" s="10" t="n">
        <v>17</v>
      </c>
      <c r="B21" s="12" t="s">
        <v>436</v>
      </c>
      <c r="C21" s="11" t="s">
        <v>437</v>
      </c>
      <c r="D21" s="11" t="s">
        <v>438</v>
      </c>
      <c r="E21" s="11" t="s">
        <v>439</v>
      </c>
      <c r="F21" s="12" t="s">
        <v>267</v>
      </c>
      <c r="G21" s="24" t="n">
        <v>0.2</v>
      </c>
      <c r="H21" s="11" t="s">
        <v>362</v>
      </c>
      <c r="I21" s="25" t="str">
        <f aca="false">IF(AND(ISNUMBER(F21),ISNUMBER(G21)),(1+F21)*(1+G21)-1,"—")</f>
        <v>—</v>
      </c>
      <c r="J21" s="12" t="s">
        <v>381</v>
      </c>
      <c r="K21" s="11" t="s">
        <v>440</v>
      </c>
      <c r="L21" s="26" t="s">
        <v>441</v>
      </c>
      <c r="M21" s="27" t="s">
        <v>77</v>
      </c>
    </row>
    <row r="22" customFormat="false" ht="15" hidden="false" customHeight="false" outlineLevel="0" collapsed="false">
      <c r="A22" s="10" t="n">
        <v>18</v>
      </c>
      <c r="B22" s="12" t="s">
        <v>442</v>
      </c>
      <c r="C22" s="11" t="s">
        <v>443</v>
      </c>
      <c r="D22" s="11" t="s">
        <v>444</v>
      </c>
      <c r="E22" s="11" t="s">
        <v>439</v>
      </c>
      <c r="F22" s="12" t="s">
        <v>267</v>
      </c>
      <c r="G22" s="24" t="n">
        <v>0.2</v>
      </c>
      <c r="H22" s="11" t="s">
        <v>362</v>
      </c>
      <c r="I22" s="25" t="str">
        <f aca="false">IF(AND(ISNUMBER(F22),ISNUMBER(G22)),(1+F22)*(1+G22)-1,"—")</f>
        <v>—</v>
      </c>
      <c r="J22" s="12" t="s">
        <v>381</v>
      </c>
      <c r="K22" s="11" t="s">
        <v>445</v>
      </c>
      <c r="L22" s="26" t="s">
        <v>446</v>
      </c>
      <c r="M22" s="27" t="s">
        <v>77</v>
      </c>
    </row>
    <row r="23" customFormat="false" ht="15" hidden="false" customHeight="false" outlineLevel="0" collapsed="false">
      <c r="A23" s="10" t="n">
        <v>19</v>
      </c>
      <c r="B23" s="12" t="s">
        <v>447</v>
      </c>
      <c r="C23" s="11" t="s">
        <v>448</v>
      </c>
      <c r="D23" s="12" t="s">
        <v>449</v>
      </c>
      <c r="E23" s="11" t="s">
        <v>450</v>
      </c>
      <c r="F23" s="12" t="s">
        <v>267</v>
      </c>
      <c r="G23" s="24" t="n">
        <v>0.2</v>
      </c>
      <c r="H23" s="11" t="s">
        <v>362</v>
      </c>
      <c r="I23" s="25" t="str">
        <f aca="false">IF(AND(ISNUMBER(F23),ISNUMBER(G23)),(1+F23)*(1+G23)-1,"—")</f>
        <v>—</v>
      </c>
      <c r="J23" s="12" t="s">
        <v>381</v>
      </c>
      <c r="K23" s="11" t="s">
        <v>451</v>
      </c>
      <c r="L23" s="26" t="s">
        <v>452</v>
      </c>
      <c r="M23" s="21" t="s">
        <v>75</v>
      </c>
    </row>
    <row r="24" customFormat="false" ht="15" hidden="false" customHeight="false" outlineLevel="0" collapsed="false">
      <c r="A24" s="10" t="n">
        <v>20</v>
      </c>
      <c r="B24" s="12" t="s">
        <v>453</v>
      </c>
      <c r="C24" s="11" t="s">
        <v>454</v>
      </c>
      <c r="D24" s="12" t="s">
        <v>455</v>
      </c>
      <c r="E24" s="11" t="s">
        <v>361</v>
      </c>
      <c r="F24" s="24" t="n">
        <v>0</v>
      </c>
      <c r="G24" s="24" t="n">
        <v>0.2</v>
      </c>
      <c r="H24" s="11" t="s">
        <v>362</v>
      </c>
      <c r="I24" s="25" t="n">
        <f aca="false">IF(AND(ISNUMBER(F24),ISNUMBER(G24)),(1+F24)*(1+G24)-1,"—")</f>
        <v>0.2</v>
      </c>
      <c r="J24" s="12" t="s">
        <v>456</v>
      </c>
      <c r="K24" s="12" t="s">
        <v>457</v>
      </c>
      <c r="L24" s="12"/>
      <c r="M24" s="20" t="s">
        <v>73</v>
      </c>
    </row>
    <row r="25" customFormat="false" ht="15" hidden="false" customHeight="false" outlineLevel="0" collapsed="false">
      <c r="A25" s="10" t="n">
        <v>21</v>
      </c>
      <c r="B25" s="12" t="s">
        <v>458</v>
      </c>
      <c r="C25" s="11" t="s">
        <v>459</v>
      </c>
      <c r="D25" s="12" t="s">
        <v>455</v>
      </c>
      <c r="E25" s="11" t="s">
        <v>361</v>
      </c>
      <c r="F25" s="24" t="n">
        <v>0</v>
      </c>
      <c r="G25" s="24" t="n">
        <v>0.2</v>
      </c>
      <c r="H25" s="11" t="s">
        <v>362</v>
      </c>
      <c r="I25" s="25" t="n">
        <f aca="false">IF(AND(ISNUMBER(F25),ISNUMBER(G25)),(1+F25)*(1+G25)-1,"—")</f>
        <v>0.2</v>
      </c>
      <c r="J25" s="12" t="s">
        <v>460</v>
      </c>
      <c r="K25" s="12" t="s">
        <v>461</v>
      </c>
      <c r="L25" s="12"/>
      <c r="M25" s="20" t="s">
        <v>73</v>
      </c>
    </row>
    <row r="26" customFormat="false" ht="15" hidden="false" customHeight="false" outlineLevel="0" collapsed="false">
      <c r="A26" s="10" t="n">
        <v>22</v>
      </c>
      <c r="B26" s="12" t="s">
        <v>462</v>
      </c>
      <c r="C26" s="11" t="s">
        <v>463</v>
      </c>
      <c r="D26" s="12" t="s">
        <v>464</v>
      </c>
      <c r="E26" s="11" t="s">
        <v>361</v>
      </c>
      <c r="F26" s="24" t="n">
        <v>0</v>
      </c>
      <c r="G26" s="24" t="n">
        <v>0.2</v>
      </c>
      <c r="H26" s="11" t="s">
        <v>362</v>
      </c>
      <c r="I26" s="25" t="n">
        <f aca="false">IF(AND(ISNUMBER(F26),ISNUMBER(G26)),(1+F26)*(1+G26)-1,"—")</f>
        <v>0.2</v>
      </c>
      <c r="J26" s="12" t="s">
        <v>465</v>
      </c>
      <c r="K26" s="12" t="s">
        <v>461</v>
      </c>
      <c r="L26" s="12"/>
      <c r="M26" s="20" t="s">
        <v>73</v>
      </c>
    </row>
    <row r="27" customFormat="false" ht="15" hidden="false" customHeight="false" outlineLevel="0" collapsed="false">
      <c r="A27" s="10" t="n">
        <v>23</v>
      </c>
      <c r="B27" s="12" t="s">
        <v>466</v>
      </c>
      <c r="C27" s="11" t="s">
        <v>467</v>
      </c>
      <c r="D27" s="12" t="s">
        <v>468</v>
      </c>
      <c r="E27" s="11" t="s">
        <v>361</v>
      </c>
      <c r="F27" s="24" t="n">
        <v>0</v>
      </c>
      <c r="G27" s="24" t="n">
        <v>0.2</v>
      </c>
      <c r="H27" s="11" t="s">
        <v>362</v>
      </c>
      <c r="I27" s="25" t="n">
        <f aca="false">IF(AND(ISNUMBER(F27),ISNUMBER(G27)),(1+F27)*(1+G27)-1,"—")</f>
        <v>0.2</v>
      </c>
      <c r="J27" s="12" t="s">
        <v>456</v>
      </c>
      <c r="K27" s="11" t="s">
        <v>469</v>
      </c>
      <c r="L27" s="12"/>
      <c r="M27" s="21" t="s">
        <v>75</v>
      </c>
    </row>
    <row r="28" customFormat="false" ht="26.85" hidden="false" customHeight="false" outlineLevel="0" collapsed="false">
      <c r="A28" s="10" t="n">
        <v>24</v>
      </c>
      <c r="B28" s="12" t="s">
        <v>470</v>
      </c>
      <c r="C28" s="11" t="s">
        <v>471</v>
      </c>
      <c r="D28" s="11" t="s">
        <v>472</v>
      </c>
      <c r="E28" s="11" t="s">
        <v>473</v>
      </c>
      <c r="F28" s="12" t="s">
        <v>267</v>
      </c>
      <c r="G28" s="11" t="s">
        <v>416</v>
      </c>
      <c r="H28" s="11" t="s">
        <v>474</v>
      </c>
      <c r="I28" s="25" t="str">
        <f aca="false">IF(AND(ISNUMBER(F28),ISNUMBER(G28)),(1+F28)*(1+G28)-1,"—")</f>
        <v>—</v>
      </c>
      <c r="J28" s="12" t="s">
        <v>475</v>
      </c>
      <c r="K28" s="11" t="s">
        <v>476</v>
      </c>
      <c r="L28" s="26" t="s">
        <v>477</v>
      </c>
      <c r="M28" s="20" t="s">
        <v>73</v>
      </c>
    </row>
    <row r="29" customFormat="false" ht="15" hidden="false" customHeight="false" outlineLevel="0" collapsed="false">
      <c r="A29" s="10" t="n">
        <v>25</v>
      </c>
      <c r="B29" s="11" t="s">
        <v>478</v>
      </c>
      <c r="C29" s="11" t="s">
        <v>479</v>
      </c>
      <c r="D29" s="12" t="s">
        <v>480</v>
      </c>
      <c r="E29" s="11" t="s">
        <v>361</v>
      </c>
      <c r="F29" s="24" t="n">
        <v>0</v>
      </c>
      <c r="G29" s="11" t="s">
        <v>416</v>
      </c>
      <c r="H29" s="11" t="s">
        <v>362</v>
      </c>
      <c r="I29" s="25" t="str">
        <f aca="false">IF(AND(ISNUMBER(F29),ISNUMBER(G29)),(1+F29)*(1+G29)-1,"—")</f>
        <v>—</v>
      </c>
      <c r="J29" s="12" t="s">
        <v>481</v>
      </c>
      <c r="K29" s="12" t="s">
        <v>482</v>
      </c>
      <c r="L29" s="12"/>
      <c r="M29" s="20" t="s">
        <v>73</v>
      </c>
    </row>
    <row r="30" customFormat="false" ht="15" hidden="false" customHeight="false" outlineLevel="0" collapsed="false">
      <c r="A30" s="10" t="n">
        <v>26</v>
      </c>
      <c r="B30" s="12" t="s">
        <v>483</v>
      </c>
      <c r="C30" s="11" t="s">
        <v>484</v>
      </c>
      <c r="D30" s="11" t="s">
        <v>485</v>
      </c>
      <c r="E30" s="11" t="s">
        <v>361</v>
      </c>
      <c r="F30" s="24" t="n">
        <v>0</v>
      </c>
      <c r="G30" s="24" t="n">
        <v>0.2</v>
      </c>
      <c r="H30" s="11" t="s">
        <v>362</v>
      </c>
      <c r="I30" s="25" t="n">
        <f aca="false">IF(AND(ISNUMBER(F30),ISNUMBER(G30)),(1+F30)*(1+G30)-1,"—")</f>
        <v>0.2</v>
      </c>
      <c r="J30" s="12" t="s">
        <v>486</v>
      </c>
      <c r="K30" s="12" t="s">
        <v>487</v>
      </c>
      <c r="L30" s="12"/>
      <c r="M30" s="20" t="s">
        <v>73</v>
      </c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customFormat="false" ht="15" hidden="false" customHeight="false" outlineLevel="0" collapsed="false">
      <c r="A32" s="2"/>
      <c r="B32" s="28" t="s">
        <v>488</v>
      </c>
      <c r="C32" s="2"/>
      <c r="D32" s="2"/>
      <c r="E32" s="2"/>
      <c r="F32" s="29" t="n">
        <f aca="false">AVERAGEIF(E5:E30,"从价",F5:F30)</f>
        <v>0.0483333333333333</v>
      </c>
      <c r="G32" s="2"/>
      <c r="H32" s="2"/>
      <c r="I32" s="2"/>
      <c r="J32" s="2"/>
      <c r="K32" s="2"/>
      <c r="L32" s="2"/>
      <c r="M32" s="2"/>
    </row>
    <row r="33" customFormat="false" ht="15" hidden="false" customHeight="false" outlineLevel="0" collapsed="false">
      <c r="A33" s="2"/>
      <c r="B33" s="28" t="s">
        <v>489</v>
      </c>
      <c r="C33" s="2"/>
      <c r="D33" s="2"/>
      <c r="E33" s="2"/>
      <c r="F33" s="28" t="n">
        <f aca="false">COUNTIFS(E5:E30,"从价",F5:F30,0)</f>
        <v>11</v>
      </c>
      <c r="G33" s="2"/>
      <c r="H33" s="2"/>
      <c r="I33" s="2"/>
      <c r="J33" s="2"/>
      <c r="K33" s="2"/>
      <c r="L33" s="2"/>
      <c r="M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customFormat="false" ht="30" hidden="false" customHeight="true" outlineLevel="0" collapsed="false">
      <c r="A35" s="3" t="s">
        <v>490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</sheetData>
  <mergeCells count="2">
    <mergeCell ref="A2:M2"/>
    <mergeCell ref="A35:M35"/>
  </mergeCells>
  <hyperlinks>
    <hyperlink ref="L5" r:id="rId1" display="https://pravo.by/novosti/obshchestvenno-politicheskie-i-v-oblasti-prava/2025/october/90569/"/>
    <hyperlink ref="L6" r:id="rId2" display="https://www.customs.gov.by/news/ob-ustanovlenii-lgot-v-otnoshenii-elektromobiley-na-2026-god/"/>
    <hyperlink ref="L7" r:id="rId3" display="https://pravo.by/novosti/obshchestvenno-politicheskie-i-v-oblasti-prava/2026/february/92131/"/>
    <hyperlink ref="L8" r:id="rId4" display="https://www.alta.ru/tnved/code/8517130000/"/>
    <hyperlink ref="L9" r:id="rId5" display="https://www.alta.ru/tnved/code/8471300000/"/>
    <hyperlink ref="L10" r:id="rId6" display="https://www.alta.ru/tnved/code/8528721000/"/>
    <hyperlink ref="L11" r:id="rId7" display="https://www.alta.ru/tnved/code/8418102001/"/>
    <hyperlink ref="L12" r:id="rId8" display="https://www.alta.ru/tnved/code/8415109000/"/>
    <hyperlink ref="L13" r:id="rId9" display="https://www.alta.ru/tnved/code/8429521009/"/>
    <hyperlink ref="L14" r:id="rId10" display="https://www.alta.ru/tnved/code/9503007000/"/>
    <hyperlink ref="L15" r:id="rId11" display="https://www.alta.ru/tnved/code/3304990000/"/>
    <hyperlink ref="L16" r:id="rId12" display="https://www.alta.ru/tnved/code/3004900002/"/>
    <hyperlink ref="L17" r:id="rId13" display="https://www.alta.ru/tnved/code/8541430000/"/>
    <hyperlink ref="L18" r:id="rId14" display="https://www.alta.ru/tnved/code/4011100003/"/>
    <hyperlink ref="L19" r:id="rId15" display="https://www.alta.ru/tnved/code/0902300001/"/>
    <hyperlink ref="L20" r:id="rId16" display="https://www.alta.ru/tnved/code/0902400000/"/>
    <hyperlink ref="L21" r:id="rId17" display="https://www.alta.ru/tnved/code/6109100000/"/>
    <hyperlink ref="L22" r:id="rId18" display="https://www.alta.ru/tnved/code/6403190000/"/>
    <hyperlink ref="L23" r:id="rId19" display="https://www.alta.ru/tnved/code/9403601001/"/>
    <hyperlink ref="L28" r:id="rId20" display="https://pravo.by/novosti/obshchestvenno-politicheskie-i-v-oblasti-prava/2026/maj/93386/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44"/>
    <col collapsed="false" customWidth="true" hidden="false" outlineLevel="0" max="5" min="5" style="0" width="20"/>
    <col collapsed="false" customWidth="true" hidden="false" outlineLevel="0" max="6" min="6" style="0" width="32"/>
    <col collapsed="false" customWidth="true" hidden="false" outlineLevel="0" max="7" min="7" style="0" width="18"/>
    <col collapsed="false" customWidth="true" hidden="false" outlineLevel="0" max="8" min="8" style="0" width="8"/>
  </cols>
  <sheetData>
    <row r="1" customFormat="false" ht="19.7" hidden="false" customHeight="false" outlineLevel="0" collapsed="false">
      <c r="A1" s="1" t="s">
        <v>51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491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9" t="s">
        <v>492</v>
      </c>
      <c r="B4" s="9" t="s">
        <v>493</v>
      </c>
      <c r="C4" s="9" t="s">
        <v>494</v>
      </c>
      <c r="D4" s="9" t="s">
        <v>495</v>
      </c>
      <c r="E4" s="9" t="s">
        <v>496</v>
      </c>
      <c r="F4" s="9" t="s">
        <v>497</v>
      </c>
      <c r="G4" s="9" t="s">
        <v>120</v>
      </c>
      <c r="H4" s="9" t="s">
        <v>122</v>
      </c>
    </row>
    <row r="5" customFormat="false" ht="26.85" hidden="false" customHeight="false" outlineLevel="0" collapsed="false">
      <c r="A5" s="11" t="s">
        <v>498</v>
      </c>
      <c r="B5" s="12" t="s">
        <v>499</v>
      </c>
      <c r="C5" s="12" t="s">
        <v>500</v>
      </c>
      <c r="D5" s="11" t="s">
        <v>501</v>
      </c>
      <c r="E5" s="11" t="s">
        <v>502</v>
      </c>
      <c r="F5" s="11" t="s">
        <v>503</v>
      </c>
      <c r="G5" s="12" t="s">
        <v>217</v>
      </c>
      <c r="H5" s="20" t="s">
        <v>73</v>
      </c>
    </row>
    <row r="6" customFormat="false" ht="26.85" hidden="false" customHeight="false" outlineLevel="0" collapsed="false">
      <c r="A6" s="11" t="s">
        <v>498</v>
      </c>
      <c r="B6" s="12" t="s">
        <v>504</v>
      </c>
      <c r="C6" s="12" t="s">
        <v>505</v>
      </c>
      <c r="D6" s="12" t="s">
        <v>380</v>
      </c>
      <c r="E6" s="11" t="s">
        <v>502</v>
      </c>
      <c r="F6" s="11" t="s">
        <v>506</v>
      </c>
      <c r="G6" s="12" t="s">
        <v>507</v>
      </c>
      <c r="H6" s="20" t="s">
        <v>73</v>
      </c>
    </row>
    <row r="7" customFormat="false" ht="26.85" hidden="false" customHeight="false" outlineLevel="0" collapsed="false">
      <c r="A7" s="11" t="s">
        <v>508</v>
      </c>
      <c r="B7" s="12" t="s">
        <v>509</v>
      </c>
      <c r="C7" s="11" t="s">
        <v>510</v>
      </c>
      <c r="D7" s="11" t="s">
        <v>511</v>
      </c>
      <c r="E7" s="12" t="s">
        <v>512</v>
      </c>
      <c r="F7" s="11" t="s">
        <v>513</v>
      </c>
      <c r="G7" s="12" t="s">
        <v>514</v>
      </c>
      <c r="H7" s="20" t="s">
        <v>73</v>
      </c>
    </row>
    <row r="8" customFormat="false" ht="26.85" hidden="false" customHeight="false" outlineLevel="0" collapsed="false">
      <c r="A8" s="11" t="s">
        <v>508</v>
      </c>
      <c r="B8" s="12" t="s">
        <v>515</v>
      </c>
      <c r="C8" s="11" t="s">
        <v>516</v>
      </c>
      <c r="D8" s="11" t="s">
        <v>517</v>
      </c>
      <c r="E8" s="12" t="s">
        <v>518</v>
      </c>
      <c r="F8" s="12" t="s">
        <v>267</v>
      </c>
      <c r="G8" s="12" t="s">
        <v>519</v>
      </c>
      <c r="H8" s="20" t="s">
        <v>73</v>
      </c>
    </row>
    <row r="9" customFormat="false" ht="15" hidden="false" customHeight="false" outlineLevel="0" collapsed="false">
      <c r="A9" s="11" t="s">
        <v>520</v>
      </c>
      <c r="B9" s="12" t="s">
        <v>521</v>
      </c>
      <c r="C9" s="11" t="s">
        <v>522</v>
      </c>
      <c r="D9" s="11" t="s">
        <v>523</v>
      </c>
      <c r="E9" s="11" t="s">
        <v>524</v>
      </c>
      <c r="F9" s="12" t="s">
        <v>267</v>
      </c>
      <c r="G9" s="12" t="s">
        <v>525</v>
      </c>
      <c r="H9" s="20" t="s">
        <v>73</v>
      </c>
    </row>
    <row r="10" customFormat="false" ht="15" hidden="false" customHeight="false" outlineLevel="0" collapsed="false">
      <c r="A10" s="11" t="s">
        <v>526</v>
      </c>
      <c r="B10" s="11" t="s">
        <v>527</v>
      </c>
      <c r="C10" s="11" t="s">
        <v>528</v>
      </c>
      <c r="D10" s="11" t="s">
        <v>529</v>
      </c>
      <c r="E10" s="11" t="s">
        <v>530</v>
      </c>
      <c r="F10" s="12" t="s">
        <v>267</v>
      </c>
      <c r="G10" s="12" t="s">
        <v>531</v>
      </c>
      <c r="H10" s="20" t="s">
        <v>73</v>
      </c>
    </row>
    <row r="11" customFormat="false" ht="26.85" hidden="false" customHeight="false" outlineLevel="0" collapsed="false">
      <c r="A11" s="11" t="s">
        <v>532</v>
      </c>
      <c r="B11" s="11" t="s">
        <v>533</v>
      </c>
      <c r="C11" s="11" t="s">
        <v>534</v>
      </c>
      <c r="D11" s="12" t="s">
        <v>535</v>
      </c>
      <c r="E11" s="12" t="s">
        <v>536</v>
      </c>
      <c r="F11" s="11" t="s">
        <v>537</v>
      </c>
      <c r="G11" s="12" t="s">
        <v>475</v>
      </c>
      <c r="H11" s="20" t="s">
        <v>73</v>
      </c>
    </row>
    <row r="12" customFormat="false" ht="26.85" hidden="false" customHeight="false" outlineLevel="0" collapsed="false">
      <c r="A12" s="11" t="s">
        <v>532</v>
      </c>
      <c r="B12" s="11" t="s">
        <v>538</v>
      </c>
      <c r="C12" s="12" t="s">
        <v>539</v>
      </c>
      <c r="D12" s="11" t="s">
        <v>540</v>
      </c>
      <c r="E12" s="12" t="s">
        <v>541</v>
      </c>
      <c r="F12" s="11" t="s">
        <v>542</v>
      </c>
      <c r="G12" s="12" t="s">
        <v>543</v>
      </c>
      <c r="H12" s="20" t="s">
        <v>73</v>
      </c>
    </row>
    <row r="13" customFormat="false" ht="26.85" hidden="false" customHeight="false" outlineLevel="0" collapsed="false">
      <c r="A13" s="11" t="s">
        <v>544</v>
      </c>
      <c r="B13" s="11" t="s">
        <v>545</v>
      </c>
      <c r="C13" s="11" t="s">
        <v>546</v>
      </c>
      <c r="D13" s="12" t="s">
        <v>380</v>
      </c>
      <c r="E13" s="11" t="s">
        <v>547</v>
      </c>
      <c r="F13" s="11" t="s">
        <v>548</v>
      </c>
      <c r="G13" s="12" t="s">
        <v>549</v>
      </c>
      <c r="H13" s="20" t="s">
        <v>73</v>
      </c>
    </row>
    <row r="14" customFormat="false" ht="26.85" hidden="false" customHeight="false" outlineLevel="0" collapsed="false">
      <c r="A14" s="11" t="s">
        <v>544</v>
      </c>
      <c r="B14" s="11" t="s">
        <v>550</v>
      </c>
      <c r="C14" s="11" t="s">
        <v>551</v>
      </c>
      <c r="D14" s="12" t="s">
        <v>380</v>
      </c>
      <c r="E14" s="11" t="s">
        <v>552</v>
      </c>
      <c r="F14" s="11" t="s">
        <v>553</v>
      </c>
      <c r="G14" s="12" t="s">
        <v>554</v>
      </c>
      <c r="H14" s="20" t="s">
        <v>73</v>
      </c>
    </row>
    <row r="15" customFormat="false" ht="39.55" hidden="false" customHeight="false" outlineLevel="0" collapsed="false">
      <c r="A15" s="11" t="s">
        <v>555</v>
      </c>
      <c r="B15" s="11" t="s">
        <v>556</v>
      </c>
      <c r="C15" s="11" t="s">
        <v>557</v>
      </c>
      <c r="D15" s="11" t="s">
        <v>558</v>
      </c>
      <c r="E15" s="11" t="s">
        <v>559</v>
      </c>
      <c r="F15" s="11" t="s">
        <v>560</v>
      </c>
      <c r="G15" s="12" t="s">
        <v>561</v>
      </c>
      <c r="H15" s="20" t="s">
        <v>73</v>
      </c>
    </row>
    <row r="16" customFormat="false" ht="15" hidden="false" customHeight="false" outlineLevel="0" collapsed="false">
      <c r="A16" s="11" t="s">
        <v>555</v>
      </c>
      <c r="B16" s="11" t="s">
        <v>562</v>
      </c>
      <c r="C16" s="11" t="s">
        <v>563</v>
      </c>
      <c r="D16" s="11" t="s">
        <v>564</v>
      </c>
      <c r="E16" s="11" t="s">
        <v>565</v>
      </c>
      <c r="F16" s="11" t="s">
        <v>566</v>
      </c>
      <c r="G16" s="12" t="s">
        <v>567</v>
      </c>
      <c r="H16" s="20" t="s">
        <v>73</v>
      </c>
    </row>
    <row r="17" customFormat="false" ht="39.55" hidden="false" customHeight="false" outlineLevel="0" collapsed="false">
      <c r="A17" s="11" t="s">
        <v>568</v>
      </c>
      <c r="B17" s="11" t="s">
        <v>569</v>
      </c>
      <c r="C17" s="11" t="s">
        <v>570</v>
      </c>
      <c r="D17" s="11" t="s">
        <v>571</v>
      </c>
      <c r="E17" s="11" t="s">
        <v>572</v>
      </c>
      <c r="F17" s="11" t="s">
        <v>573</v>
      </c>
      <c r="G17" s="12" t="s">
        <v>258</v>
      </c>
      <c r="H17" s="20" t="s">
        <v>73</v>
      </c>
    </row>
    <row r="18" customFormat="false" ht="26.85" hidden="false" customHeight="false" outlineLevel="0" collapsed="false">
      <c r="A18" s="11" t="s">
        <v>568</v>
      </c>
      <c r="B18" s="11" t="s">
        <v>574</v>
      </c>
      <c r="C18" s="11" t="s">
        <v>575</v>
      </c>
      <c r="D18" s="11" t="s">
        <v>576</v>
      </c>
      <c r="E18" s="11" t="s">
        <v>577</v>
      </c>
      <c r="F18" s="11" t="s">
        <v>573</v>
      </c>
      <c r="G18" s="12" t="s">
        <v>578</v>
      </c>
      <c r="H18" s="21" t="s">
        <v>75</v>
      </c>
    </row>
    <row r="19" customFormat="false" ht="15" hidden="false" customHeight="false" outlineLevel="0" collapsed="false">
      <c r="A19" s="11" t="s">
        <v>53</v>
      </c>
      <c r="B19" s="11" t="s">
        <v>579</v>
      </c>
      <c r="C19" s="12" t="s">
        <v>267</v>
      </c>
      <c r="D19" s="12" t="s">
        <v>267</v>
      </c>
      <c r="E19" s="12" t="s">
        <v>267</v>
      </c>
      <c r="F19" s="12" t="s">
        <v>267</v>
      </c>
      <c r="G19" s="12" t="s">
        <v>580</v>
      </c>
      <c r="H19" s="20" t="s">
        <v>73</v>
      </c>
    </row>
  </sheetData>
  <mergeCells count="1">
    <mergeCell ref="A2:H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4" min="3" style="0" width="14"/>
    <col collapsed="false" customWidth="true" hidden="false" outlineLevel="0" max="5" min="5" style="0" width="26"/>
    <col collapsed="false" customWidth="true" hidden="false" outlineLevel="0" max="6" min="6" style="0" width="42"/>
    <col collapsed="false" customWidth="true" hidden="false" outlineLevel="0" max="7" min="7" style="0" width="30"/>
    <col collapsed="false" customWidth="true" hidden="false" outlineLevel="0" max="8" min="8" style="0" width="20"/>
    <col collapsed="false" customWidth="true" hidden="false" outlineLevel="0" max="9" min="9" style="0" width="8"/>
  </cols>
  <sheetData>
    <row r="1" customFormat="false" ht="19.7" hidden="false" customHeight="false" outlineLevel="0" collapsed="false">
      <c r="A1" s="1" t="s">
        <v>581</v>
      </c>
      <c r="B1" s="2"/>
      <c r="C1" s="2"/>
      <c r="D1" s="2"/>
      <c r="E1" s="2"/>
      <c r="F1" s="2"/>
      <c r="G1" s="2"/>
      <c r="H1" s="2"/>
      <c r="I1" s="2"/>
    </row>
    <row r="2" customFormat="false" ht="30" hidden="false" customHeight="true" outlineLevel="0" collapsed="false">
      <c r="A2" s="3" t="s">
        <v>582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9" t="s">
        <v>583</v>
      </c>
      <c r="B4" s="9" t="s">
        <v>584</v>
      </c>
      <c r="C4" s="9" t="s">
        <v>585</v>
      </c>
      <c r="D4" s="9" t="s">
        <v>586</v>
      </c>
      <c r="E4" s="9" t="s">
        <v>587</v>
      </c>
      <c r="F4" s="9" t="s">
        <v>588</v>
      </c>
      <c r="G4" s="9" t="s">
        <v>589</v>
      </c>
      <c r="H4" s="9" t="s">
        <v>120</v>
      </c>
      <c r="I4" s="9" t="s">
        <v>122</v>
      </c>
    </row>
    <row r="5" customFormat="false" ht="26.85" hidden="false" customHeight="false" outlineLevel="0" collapsed="false">
      <c r="A5" s="11" t="s">
        <v>590</v>
      </c>
      <c r="B5" s="11" t="s">
        <v>591</v>
      </c>
      <c r="C5" s="11" t="s">
        <v>592</v>
      </c>
      <c r="D5" s="12" t="s">
        <v>593</v>
      </c>
      <c r="E5" s="12" t="s">
        <v>594</v>
      </c>
      <c r="F5" s="11" t="s">
        <v>595</v>
      </c>
      <c r="G5" s="11" t="s">
        <v>596</v>
      </c>
      <c r="H5" s="12" t="s">
        <v>202</v>
      </c>
      <c r="I5" s="20" t="s">
        <v>73</v>
      </c>
    </row>
    <row r="6" customFormat="false" ht="39.55" hidden="false" customHeight="false" outlineLevel="0" collapsed="false">
      <c r="A6" s="11" t="s">
        <v>597</v>
      </c>
      <c r="B6" s="11" t="s">
        <v>598</v>
      </c>
      <c r="C6" s="11" t="s">
        <v>599</v>
      </c>
      <c r="D6" s="12" t="s">
        <v>600</v>
      </c>
      <c r="E6" s="11" t="s">
        <v>601</v>
      </c>
      <c r="F6" s="11" t="s">
        <v>602</v>
      </c>
      <c r="G6" s="11" t="s">
        <v>603</v>
      </c>
      <c r="H6" s="12" t="s">
        <v>604</v>
      </c>
      <c r="I6" s="20" t="s">
        <v>73</v>
      </c>
    </row>
    <row r="7" customFormat="false" ht="26.85" hidden="false" customHeight="false" outlineLevel="0" collapsed="false">
      <c r="A7" s="12" t="s">
        <v>605</v>
      </c>
      <c r="B7" s="11" t="s">
        <v>606</v>
      </c>
      <c r="C7" s="11" t="s">
        <v>599</v>
      </c>
      <c r="D7" s="12" t="s">
        <v>607</v>
      </c>
      <c r="E7" s="11" t="s">
        <v>608</v>
      </c>
      <c r="F7" s="11" t="s">
        <v>609</v>
      </c>
      <c r="G7" s="11" t="s">
        <v>610</v>
      </c>
      <c r="H7" s="12" t="s">
        <v>580</v>
      </c>
      <c r="I7" s="20" t="s">
        <v>73</v>
      </c>
    </row>
    <row r="8" customFormat="false" ht="39.55" hidden="false" customHeight="false" outlineLevel="0" collapsed="false">
      <c r="A8" s="11" t="s">
        <v>611</v>
      </c>
      <c r="B8" s="11" t="s">
        <v>612</v>
      </c>
      <c r="C8" s="11" t="s">
        <v>613</v>
      </c>
      <c r="D8" s="12" t="s">
        <v>267</v>
      </c>
      <c r="E8" s="11" t="s">
        <v>614</v>
      </c>
      <c r="F8" s="11" t="s">
        <v>615</v>
      </c>
      <c r="G8" s="11" t="s">
        <v>616</v>
      </c>
      <c r="H8" s="12" t="s">
        <v>580</v>
      </c>
      <c r="I8" s="20" t="s">
        <v>73</v>
      </c>
    </row>
    <row r="9" customFormat="false" ht="15" hidden="false" customHeight="false" outlineLevel="0" collapsed="false">
      <c r="A9" s="12" t="s">
        <v>617</v>
      </c>
      <c r="B9" s="12" t="s">
        <v>618</v>
      </c>
      <c r="C9" s="11" t="s">
        <v>53</v>
      </c>
      <c r="D9" s="12" t="s">
        <v>619</v>
      </c>
      <c r="E9" s="12" t="s">
        <v>620</v>
      </c>
      <c r="F9" s="11" t="s">
        <v>621</v>
      </c>
      <c r="G9" s="11" t="s">
        <v>622</v>
      </c>
      <c r="H9" s="12" t="s">
        <v>580</v>
      </c>
      <c r="I9" s="20" t="s">
        <v>73</v>
      </c>
    </row>
    <row r="10" customFormat="false" ht="15" hidden="false" customHeight="false" outlineLevel="0" collapsed="false">
      <c r="A10" s="12" t="s">
        <v>623</v>
      </c>
      <c r="B10" s="12" t="s">
        <v>624</v>
      </c>
      <c r="C10" s="11" t="s">
        <v>53</v>
      </c>
      <c r="D10" s="12" t="s">
        <v>267</v>
      </c>
      <c r="E10" s="12" t="s">
        <v>625</v>
      </c>
      <c r="F10" s="11" t="s">
        <v>626</v>
      </c>
      <c r="G10" s="12" t="s">
        <v>267</v>
      </c>
      <c r="H10" s="12" t="s">
        <v>580</v>
      </c>
      <c r="I10" s="20" t="s">
        <v>73</v>
      </c>
    </row>
    <row r="11" customFormat="false" ht="26.85" hidden="false" customHeight="false" outlineLevel="0" collapsed="false">
      <c r="A11" s="12" t="s">
        <v>627</v>
      </c>
      <c r="B11" s="12" t="s">
        <v>628</v>
      </c>
      <c r="C11" s="11" t="s">
        <v>53</v>
      </c>
      <c r="D11" s="12" t="s">
        <v>629</v>
      </c>
      <c r="E11" s="12" t="s">
        <v>630</v>
      </c>
      <c r="F11" s="11" t="s">
        <v>631</v>
      </c>
      <c r="G11" s="11" t="s">
        <v>632</v>
      </c>
      <c r="H11" s="12" t="s">
        <v>633</v>
      </c>
      <c r="I11" s="20" t="s">
        <v>73</v>
      </c>
    </row>
    <row r="12" customFormat="false" ht="39.55" hidden="false" customHeight="false" outlineLevel="0" collapsed="false">
      <c r="A12" s="12" t="s">
        <v>634</v>
      </c>
      <c r="B12" s="12" t="s">
        <v>635</v>
      </c>
      <c r="C12" s="11" t="s">
        <v>53</v>
      </c>
      <c r="D12" s="12" t="s">
        <v>636</v>
      </c>
      <c r="E12" s="11" t="s">
        <v>637</v>
      </c>
      <c r="F12" s="12" t="s">
        <v>267</v>
      </c>
      <c r="G12" s="11" t="s">
        <v>638</v>
      </c>
      <c r="H12" s="12" t="s">
        <v>639</v>
      </c>
      <c r="I12" s="27" t="s">
        <v>77</v>
      </c>
    </row>
    <row r="13" customFormat="false" ht="26.85" hidden="false" customHeight="false" outlineLevel="0" collapsed="false">
      <c r="A13" s="12" t="s">
        <v>640</v>
      </c>
      <c r="B13" s="12" t="s">
        <v>641</v>
      </c>
      <c r="C13" s="11" t="s">
        <v>642</v>
      </c>
      <c r="D13" s="12" t="s">
        <v>643</v>
      </c>
      <c r="E13" s="12" t="s">
        <v>644</v>
      </c>
      <c r="F13" s="11" t="s">
        <v>645</v>
      </c>
      <c r="G13" s="11" t="s">
        <v>646</v>
      </c>
      <c r="H13" s="12" t="s">
        <v>647</v>
      </c>
      <c r="I13" s="20" t="s">
        <v>73</v>
      </c>
    </row>
    <row r="14" customFormat="false" ht="26.85" hidden="false" customHeight="false" outlineLevel="0" collapsed="false">
      <c r="A14" s="12" t="s">
        <v>648</v>
      </c>
      <c r="B14" s="12" t="s">
        <v>649</v>
      </c>
      <c r="C14" s="11" t="s">
        <v>650</v>
      </c>
      <c r="D14" s="12" t="s">
        <v>651</v>
      </c>
      <c r="E14" s="12" t="s">
        <v>652</v>
      </c>
      <c r="F14" s="11" t="s">
        <v>653</v>
      </c>
      <c r="G14" s="11" t="s">
        <v>654</v>
      </c>
      <c r="H14" s="12" t="s">
        <v>655</v>
      </c>
      <c r="I14" s="20" t="s">
        <v>73</v>
      </c>
    </row>
    <row r="15" customFormat="false" ht="26.85" hidden="false" customHeight="false" outlineLevel="0" collapsed="false">
      <c r="A15" s="12" t="s">
        <v>656</v>
      </c>
      <c r="B15" s="12" t="s">
        <v>657</v>
      </c>
      <c r="C15" s="11" t="s">
        <v>53</v>
      </c>
      <c r="D15" s="12" t="s">
        <v>658</v>
      </c>
      <c r="E15" s="11" t="s">
        <v>659</v>
      </c>
      <c r="F15" s="11" t="s">
        <v>660</v>
      </c>
      <c r="G15" s="11" t="s">
        <v>661</v>
      </c>
      <c r="H15" s="12" t="s">
        <v>662</v>
      </c>
      <c r="I15" s="20" t="s">
        <v>73</v>
      </c>
    </row>
    <row r="16" customFormat="false" ht="26.85" hidden="false" customHeight="false" outlineLevel="0" collapsed="false">
      <c r="A16" s="12" t="s">
        <v>663</v>
      </c>
      <c r="B16" s="12" t="s">
        <v>664</v>
      </c>
      <c r="C16" s="11" t="s">
        <v>665</v>
      </c>
      <c r="D16" s="12" t="s">
        <v>267</v>
      </c>
      <c r="E16" s="11" t="s">
        <v>666</v>
      </c>
      <c r="F16" s="12" t="s">
        <v>267</v>
      </c>
      <c r="G16" s="12" t="s">
        <v>267</v>
      </c>
      <c r="H16" s="12" t="s">
        <v>667</v>
      </c>
      <c r="I16" s="21" t="s">
        <v>75</v>
      </c>
    </row>
    <row r="17" customFormat="false" ht="26.85" hidden="false" customHeight="false" outlineLevel="0" collapsed="false">
      <c r="A17" s="11" t="s">
        <v>668</v>
      </c>
      <c r="B17" s="11" t="s">
        <v>669</v>
      </c>
      <c r="C17" s="12" t="s">
        <v>267</v>
      </c>
      <c r="D17" s="12" t="s">
        <v>267</v>
      </c>
      <c r="E17" s="11" t="s">
        <v>670</v>
      </c>
      <c r="F17" s="12" t="s">
        <v>267</v>
      </c>
      <c r="G17" s="12" t="s">
        <v>267</v>
      </c>
      <c r="H17" s="12" t="s">
        <v>667</v>
      </c>
      <c r="I17" s="21" t="s">
        <v>75</v>
      </c>
    </row>
    <row r="18" customFormat="false" ht="26.85" hidden="false" customHeight="false" outlineLevel="0" collapsed="false">
      <c r="A18" s="12" t="s">
        <v>671</v>
      </c>
      <c r="B18" s="12" t="s">
        <v>672</v>
      </c>
      <c r="C18" s="11" t="s">
        <v>673</v>
      </c>
      <c r="D18" s="12" t="s">
        <v>674</v>
      </c>
      <c r="E18" s="12" t="s">
        <v>675</v>
      </c>
      <c r="F18" s="11" t="s">
        <v>676</v>
      </c>
      <c r="G18" s="11" t="s">
        <v>677</v>
      </c>
      <c r="H18" s="12" t="s">
        <v>678</v>
      </c>
      <c r="I18" s="20" t="s">
        <v>73</v>
      </c>
    </row>
    <row r="19" customFormat="false" ht="15" hidden="false" customHeight="false" outlineLevel="0" collapsed="false">
      <c r="A19" s="11" t="s">
        <v>679</v>
      </c>
      <c r="B19" s="11" t="s">
        <v>680</v>
      </c>
      <c r="C19" s="11" t="s">
        <v>681</v>
      </c>
      <c r="D19" s="12" t="s">
        <v>682</v>
      </c>
      <c r="E19" s="12" t="s">
        <v>267</v>
      </c>
      <c r="F19" s="11" t="s">
        <v>683</v>
      </c>
      <c r="G19" s="12" t="s">
        <v>267</v>
      </c>
      <c r="H19" s="12" t="s">
        <v>684</v>
      </c>
      <c r="I19" s="21" t="s">
        <v>75</v>
      </c>
    </row>
  </sheetData>
  <mergeCells count="1">
    <mergeCell ref="A2:I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46"/>
    <col collapsed="false" customWidth="true" hidden="false" outlineLevel="0" max="4" min="4" style="0" width="20"/>
    <col collapsed="false" customWidth="true" hidden="false" outlineLevel="0" max="6" min="5" style="0" width="30"/>
    <col collapsed="false" customWidth="true" hidden="false" outlineLevel="0" max="7" min="7" style="0" width="18"/>
    <col collapsed="false" customWidth="true" hidden="false" outlineLevel="0" max="8" min="8" style="0" width="8"/>
  </cols>
  <sheetData>
    <row r="1" customFormat="false" ht="19.7" hidden="false" customHeight="false" outlineLevel="0" collapsed="false">
      <c r="A1" s="1" t="s">
        <v>685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686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9" t="s">
        <v>493</v>
      </c>
      <c r="B4" s="9" t="s">
        <v>687</v>
      </c>
      <c r="C4" s="9" t="s">
        <v>688</v>
      </c>
      <c r="D4" s="9" t="s">
        <v>689</v>
      </c>
      <c r="E4" s="9" t="s">
        <v>278</v>
      </c>
      <c r="F4" s="9" t="s">
        <v>690</v>
      </c>
      <c r="G4" s="9" t="s">
        <v>120</v>
      </c>
      <c r="H4" s="9" t="s">
        <v>122</v>
      </c>
    </row>
    <row r="5" customFormat="false" ht="26.85" hidden="false" customHeight="false" outlineLevel="0" collapsed="false">
      <c r="A5" s="11" t="s">
        <v>691</v>
      </c>
      <c r="B5" s="11" t="s">
        <v>692</v>
      </c>
      <c r="C5" s="11" t="s">
        <v>693</v>
      </c>
      <c r="D5" s="11" t="s">
        <v>694</v>
      </c>
      <c r="E5" s="11" t="s">
        <v>695</v>
      </c>
      <c r="F5" s="11" t="s">
        <v>696</v>
      </c>
      <c r="G5" s="12" t="s">
        <v>243</v>
      </c>
      <c r="H5" s="20" t="s">
        <v>73</v>
      </c>
    </row>
    <row r="6" customFormat="false" ht="26.85" hidden="false" customHeight="false" outlineLevel="0" collapsed="false">
      <c r="A6" s="11" t="s">
        <v>697</v>
      </c>
      <c r="B6" s="11" t="s">
        <v>698</v>
      </c>
      <c r="C6" s="12" t="s">
        <v>699</v>
      </c>
      <c r="D6" s="12" t="s">
        <v>700</v>
      </c>
      <c r="E6" s="11" t="s">
        <v>701</v>
      </c>
      <c r="F6" s="11" t="s">
        <v>702</v>
      </c>
      <c r="G6" s="12" t="s">
        <v>703</v>
      </c>
      <c r="H6" s="21" t="s">
        <v>75</v>
      </c>
    </row>
    <row r="7" customFormat="false" ht="15" hidden="false" customHeight="false" outlineLevel="0" collapsed="false">
      <c r="A7" s="11" t="s">
        <v>704</v>
      </c>
      <c r="B7" s="11" t="s">
        <v>705</v>
      </c>
      <c r="C7" s="12" t="s">
        <v>706</v>
      </c>
      <c r="D7" s="12" t="s">
        <v>707</v>
      </c>
      <c r="E7" s="11" t="s">
        <v>708</v>
      </c>
      <c r="F7" s="12"/>
      <c r="G7" s="12" t="s">
        <v>709</v>
      </c>
      <c r="H7" s="20" t="s">
        <v>73</v>
      </c>
    </row>
    <row r="8" customFormat="false" ht="15" hidden="false" customHeight="false" outlineLevel="0" collapsed="false">
      <c r="A8" s="11" t="s">
        <v>704</v>
      </c>
      <c r="B8" s="11" t="s">
        <v>710</v>
      </c>
      <c r="C8" s="12" t="s">
        <v>711</v>
      </c>
      <c r="D8" s="12" t="s">
        <v>707</v>
      </c>
      <c r="E8" s="11" t="s">
        <v>298</v>
      </c>
      <c r="F8" s="12"/>
      <c r="G8" s="12" t="s">
        <v>709</v>
      </c>
      <c r="H8" s="20" t="s">
        <v>73</v>
      </c>
    </row>
    <row r="9" customFormat="false" ht="15" hidden="false" customHeight="false" outlineLevel="0" collapsed="false">
      <c r="A9" s="11" t="s">
        <v>704</v>
      </c>
      <c r="B9" s="11" t="s">
        <v>712</v>
      </c>
      <c r="C9" s="12" t="s">
        <v>713</v>
      </c>
      <c r="D9" s="12" t="s">
        <v>714</v>
      </c>
      <c r="E9" s="11" t="s">
        <v>701</v>
      </c>
      <c r="F9" s="12"/>
      <c r="G9" s="12" t="s">
        <v>715</v>
      </c>
      <c r="H9" s="20" t="s">
        <v>73</v>
      </c>
    </row>
    <row r="10" customFormat="false" ht="15" hidden="false" customHeight="false" outlineLevel="0" collapsed="false">
      <c r="A10" s="11" t="s">
        <v>704</v>
      </c>
      <c r="B10" s="11" t="s">
        <v>716</v>
      </c>
      <c r="C10" s="11" t="s">
        <v>717</v>
      </c>
      <c r="D10" s="12" t="s">
        <v>718</v>
      </c>
      <c r="E10" s="11" t="s">
        <v>701</v>
      </c>
      <c r="F10" s="11" t="s">
        <v>719</v>
      </c>
      <c r="G10" s="12" t="s">
        <v>715</v>
      </c>
      <c r="H10" s="21" t="s">
        <v>75</v>
      </c>
    </row>
    <row r="11" customFormat="false" ht="39.55" hidden="false" customHeight="false" outlineLevel="0" collapsed="false">
      <c r="A11" s="11" t="s">
        <v>720</v>
      </c>
      <c r="B11" s="11" t="s">
        <v>721</v>
      </c>
      <c r="C11" s="11" t="s">
        <v>722</v>
      </c>
      <c r="D11" s="12" t="s">
        <v>723</v>
      </c>
      <c r="E11" s="11" t="s">
        <v>724</v>
      </c>
      <c r="F11" s="11" t="s">
        <v>725</v>
      </c>
      <c r="G11" s="12" t="s">
        <v>726</v>
      </c>
      <c r="H11" s="20" t="s">
        <v>73</v>
      </c>
    </row>
    <row r="12" customFormat="false" ht="15" hidden="false" customHeight="false" outlineLevel="0" collapsed="false">
      <c r="A12" s="11" t="s">
        <v>727</v>
      </c>
      <c r="B12" s="11" t="s">
        <v>728</v>
      </c>
      <c r="C12" s="11" t="s">
        <v>729</v>
      </c>
      <c r="D12" s="12" t="s">
        <v>730</v>
      </c>
      <c r="E12" s="11" t="s">
        <v>731</v>
      </c>
      <c r="F12" s="11" t="s">
        <v>732</v>
      </c>
      <c r="G12" s="12" t="s">
        <v>733</v>
      </c>
      <c r="H12" s="21" t="s">
        <v>75</v>
      </c>
    </row>
  </sheetData>
  <mergeCells count="1">
    <mergeCell ref="A2:H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18"/>
    <col collapsed="false" customWidth="true" hidden="false" outlineLevel="0" max="6" min="6" style="0" width="34"/>
    <col collapsed="false" customWidth="true" hidden="false" outlineLevel="0" max="7" min="7" style="0" width="18"/>
    <col collapsed="false" customWidth="true" hidden="false" outlineLevel="0" max="8" min="8" style="0" width="8"/>
  </cols>
  <sheetData>
    <row r="1" customFormat="false" ht="19.7" hidden="false" customHeight="false" outlineLevel="0" collapsed="false">
      <c r="A1" s="1" t="s">
        <v>734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735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9" t="s">
        <v>493</v>
      </c>
      <c r="B4" s="9" t="s">
        <v>736</v>
      </c>
      <c r="C4" s="9" t="s">
        <v>273</v>
      </c>
      <c r="D4" s="9" t="s">
        <v>737</v>
      </c>
      <c r="E4" s="9" t="s">
        <v>738</v>
      </c>
      <c r="F4" s="9" t="s">
        <v>739</v>
      </c>
      <c r="G4" s="9" t="s">
        <v>120</v>
      </c>
      <c r="H4" s="9" t="s">
        <v>122</v>
      </c>
    </row>
    <row r="5" customFormat="false" ht="26.85" hidden="false" customHeight="false" outlineLevel="0" collapsed="false">
      <c r="A5" s="11" t="s">
        <v>740</v>
      </c>
      <c r="B5" s="11" t="s">
        <v>249</v>
      </c>
      <c r="C5" s="11" t="s">
        <v>741</v>
      </c>
      <c r="D5" s="11" t="s">
        <v>742</v>
      </c>
      <c r="E5" s="12" t="s">
        <v>743</v>
      </c>
      <c r="F5" s="12" t="s">
        <v>744</v>
      </c>
      <c r="G5" s="12" t="s">
        <v>745</v>
      </c>
      <c r="H5" s="20" t="s">
        <v>73</v>
      </c>
    </row>
    <row r="6" customFormat="false" ht="52.2" hidden="false" customHeight="false" outlineLevel="0" collapsed="false">
      <c r="A6" s="12" t="s">
        <v>746</v>
      </c>
      <c r="B6" s="11" t="s">
        <v>747</v>
      </c>
      <c r="C6" s="11" t="s">
        <v>748</v>
      </c>
      <c r="D6" s="11" t="s">
        <v>749</v>
      </c>
      <c r="E6" s="11" t="s">
        <v>750</v>
      </c>
      <c r="F6" s="11" t="s">
        <v>751</v>
      </c>
      <c r="G6" s="12" t="s">
        <v>752</v>
      </c>
      <c r="H6" s="20" t="s">
        <v>73</v>
      </c>
    </row>
    <row r="7" customFormat="false" ht="26.85" hidden="false" customHeight="false" outlineLevel="0" collapsed="false">
      <c r="A7" s="11" t="s">
        <v>753</v>
      </c>
      <c r="B7" s="11" t="s">
        <v>754</v>
      </c>
      <c r="C7" s="11" t="s">
        <v>755</v>
      </c>
      <c r="D7" s="11" t="s">
        <v>756</v>
      </c>
      <c r="E7" s="11" t="s">
        <v>757</v>
      </c>
      <c r="F7" s="12" t="s">
        <v>758</v>
      </c>
      <c r="G7" s="12" t="s">
        <v>759</v>
      </c>
      <c r="H7" s="20" t="s">
        <v>73</v>
      </c>
    </row>
    <row r="8" customFormat="false" ht="39.55" hidden="false" customHeight="false" outlineLevel="0" collapsed="false">
      <c r="A8" s="11" t="s">
        <v>760</v>
      </c>
      <c r="B8" s="11" t="s">
        <v>761</v>
      </c>
      <c r="C8" s="11" t="s">
        <v>762</v>
      </c>
      <c r="D8" s="11" t="s">
        <v>763</v>
      </c>
      <c r="E8" s="11" t="s">
        <v>764</v>
      </c>
      <c r="F8" s="11" t="s">
        <v>765</v>
      </c>
      <c r="G8" s="12" t="s">
        <v>766</v>
      </c>
      <c r="H8" s="20" t="s">
        <v>73</v>
      </c>
    </row>
    <row r="9" customFormat="false" ht="26.85" hidden="false" customHeight="false" outlineLevel="0" collapsed="false">
      <c r="A9" s="11" t="s">
        <v>767</v>
      </c>
      <c r="B9" s="12" t="s">
        <v>768</v>
      </c>
      <c r="C9" s="12" t="s">
        <v>769</v>
      </c>
      <c r="D9" s="11" t="s">
        <v>770</v>
      </c>
      <c r="E9" s="12" t="s">
        <v>771</v>
      </c>
      <c r="F9" s="11" t="s">
        <v>772</v>
      </c>
      <c r="G9" s="12" t="s">
        <v>773</v>
      </c>
      <c r="H9" s="21" t="s">
        <v>75</v>
      </c>
    </row>
    <row r="10" customFormat="false" ht="15" hidden="false" customHeight="false" outlineLevel="0" collapsed="false">
      <c r="A10" s="11" t="s">
        <v>774</v>
      </c>
      <c r="B10" s="11" t="s">
        <v>775</v>
      </c>
      <c r="C10" s="11" t="s">
        <v>776</v>
      </c>
      <c r="D10" s="11" t="s">
        <v>777</v>
      </c>
      <c r="E10" s="12" t="s">
        <v>778</v>
      </c>
      <c r="F10" s="12" t="s">
        <v>779</v>
      </c>
      <c r="G10" s="12" t="s">
        <v>780</v>
      </c>
      <c r="H10" s="20" t="s">
        <v>73</v>
      </c>
    </row>
    <row r="11" customFormat="false" ht="15" hidden="false" customHeight="false" outlineLevel="0" collapsed="false">
      <c r="A11" s="11" t="s">
        <v>781</v>
      </c>
      <c r="B11" s="11" t="s">
        <v>782</v>
      </c>
      <c r="C11" s="11" t="s">
        <v>783</v>
      </c>
      <c r="D11" s="11" t="s">
        <v>784</v>
      </c>
      <c r="E11" s="12" t="s">
        <v>785</v>
      </c>
      <c r="F11" s="11" t="s">
        <v>786</v>
      </c>
      <c r="G11" s="12" t="s">
        <v>787</v>
      </c>
      <c r="H11" s="20" t="s">
        <v>73</v>
      </c>
    </row>
    <row r="12" customFormat="false" ht="15" hidden="false" customHeight="false" outlineLevel="0" collapsed="false">
      <c r="A12" s="11" t="s">
        <v>788</v>
      </c>
      <c r="B12" s="12" t="s">
        <v>789</v>
      </c>
      <c r="C12" s="11" t="s">
        <v>790</v>
      </c>
      <c r="D12" s="11" t="s">
        <v>791</v>
      </c>
      <c r="E12" s="12" t="s">
        <v>536</v>
      </c>
      <c r="F12" s="11" t="s">
        <v>792</v>
      </c>
      <c r="G12" s="12" t="s">
        <v>793</v>
      </c>
      <c r="H12" s="21" t="s">
        <v>75</v>
      </c>
    </row>
  </sheetData>
  <mergeCells count="1">
    <mergeCell ref="A2:H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38"/>
    <col collapsed="false" customWidth="true" hidden="false" outlineLevel="0" max="6" min="6" style="0" width="34"/>
    <col collapsed="false" customWidth="true" hidden="false" outlineLevel="0" max="7" min="7" style="0" width="18"/>
    <col collapsed="false" customWidth="true" hidden="false" outlineLevel="0" max="8" min="8" style="0" width="8"/>
  </cols>
  <sheetData>
    <row r="1" customFormat="false" ht="20.85" hidden="false" customHeight="false" outlineLevel="0" collapsed="false">
      <c r="A1" s="1" t="s">
        <v>794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795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9" t="s">
        <v>796</v>
      </c>
      <c r="B4" s="9" t="s">
        <v>797</v>
      </c>
      <c r="C4" s="9" t="s">
        <v>798</v>
      </c>
      <c r="D4" s="9" t="s">
        <v>799</v>
      </c>
      <c r="E4" s="9" t="s">
        <v>800</v>
      </c>
      <c r="F4" s="9" t="s">
        <v>801</v>
      </c>
      <c r="G4" s="9" t="s">
        <v>120</v>
      </c>
      <c r="H4" s="9" t="s">
        <v>122</v>
      </c>
    </row>
    <row r="5" customFormat="false" ht="15" hidden="false" customHeight="false" outlineLevel="0" collapsed="false">
      <c r="A5" s="11" t="s">
        <v>802</v>
      </c>
      <c r="B5" s="11" t="s">
        <v>803</v>
      </c>
      <c r="C5" s="22" t="s">
        <v>804</v>
      </c>
      <c r="D5" s="12" t="s">
        <v>805</v>
      </c>
      <c r="E5" s="11" t="s">
        <v>806</v>
      </c>
      <c r="F5" s="12" t="s">
        <v>461</v>
      </c>
      <c r="G5" s="12" t="s">
        <v>807</v>
      </c>
      <c r="H5" s="20" t="s">
        <v>73</v>
      </c>
    </row>
    <row r="6" customFormat="false" ht="15" hidden="false" customHeight="false" outlineLevel="0" collapsed="false">
      <c r="A6" s="11" t="s">
        <v>808</v>
      </c>
      <c r="B6" s="11" t="s">
        <v>803</v>
      </c>
      <c r="C6" s="22" t="s">
        <v>804</v>
      </c>
      <c r="D6" s="11" t="s">
        <v>809</v>
      </c>
      <c r="E6" s="11" t="s">
        <v>810</v>
      </c>
      <c r="F6" s="12" t="s">
        <v>461</v>
      </c>
      <c r="G6" s="12" t="s">
        <v>811</v>
      </c>
      <c r="H6" s="21" t="s">
        <v>75</v>
      </c>
    </row>
    <row r="7" customFormat="false" ht="15" hidden="false" customHeight="false" outlineLevel="0" collapsed="false">
      <c r="A7" s="11" t="s">
        <v>812</v>
      </c>
      <c r="B7" s="11" t="s">
        <v>803</v>
      </c>
      <c r="C7" s="22" t="s">
        <v>804</v>
      </c>
      <c r="D7" s="12" t="s">
        <v>813</v>
      </c>
      <c r="E7" s="12" t="s">
        <v>814</v>
      </c>
      <c r="F7" s="12" t="s">
        <v>815</v>
      </c>
      <c r="G7" s="12" t="s">
        <v>816</v>
      </c>
      <c r="H7" s="20" t="s">
        <v>73</v>
      </c>
    </row>
    <row r="8" customFormat="false" ht="15" hidden="false" customHeight="false" outlineLevel="0" collapsed="false">
      <c r="A8" s="11" t="s">
        <v>817</v>
      </c>
      <c r="B8" s="11" t="s">
        <v>803</v>
      </c>
      <c r="C8" s="22" t="s">
        <v>804</v>
      </c>
      <c r="D8" s="12" t="s">
        <v>818</v>
      </c>
      <c r="E8" s="12" t="s">
        <v>819</v>
      </c>
      <c r="F8" s="12" t="s">
        <v>820</v>
      </c>
      <c r="G8" s="12" t="s">
        <v>821</v>
      </c>
      <c r="H8" s="20" t="s">
        <v>73</v>
      </c>
    </row>
    <row r="9" customFormat="false" ht="15" hidden="false" customHeight="false" outlineLevel="0" collapsed="false">
      <c r="A9" s="11" t="s">
        <v>822</v>
      </c>
      <c r="B9" s="11" t="s">
        <v>803</v>
      </c>
      <c r="C9" s="22" t="s">
        <v>804</v>
      </c>
      <c r="D9" s="11" t="s">
        <v>809</v>
      </c>
      <c r="E9" s="12" t="s">
        <v>814</v>
      </c>
      <c r="F9" s="12" t="s">
        <v>815</v>
      </c>
      <c r="G9" s="12" t="s">
        <v>823</v>
      </c>
      <c r="H9" s="21" t="s">
        <v>75</v>
      </c>
    </row>
    <row r="10" customFormat="false" ht="26.85" hidden="false" customHeight="false" outlineLevel="0" collapsed="false">
      <c r="A10" s="11" t="s">
        <v>824</v>
      </c>
      <c r="B10" s="11" t="s">
        <v>825</v>
      </c>
      <c r="C10" s="22" t="s">
        <v>804</v>
      </c>
      <c r="D10" s="12" t="s">
        <v>826</v>
      </c>
      <c r="E10" s="12" t="s">
        <v>814</v>
      </c>
      <c r="F10" s="12" t="s">
        <v>815</v>
      </c>
      <c r="G10" s="12" t="s">
        <v>827</v>
      </c>
      <c r="H10" s="20" t="s">
        <v>73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</row>
    <row r="12" customFormat="false" ht="15" hidden="false" customHeight="true" outlineLevel="0" collapsed="false">
      <c r="A12" s="3" t="s">
        <v>828</v>
      </c>
      <c r="B12" s="3"/>
      <c r="C12" s="3"/>
      <c r="D12" s="3"/>
      <c r="E12" s="3"/>
      <c r="F12" s="3"/>
      <c r="G12" s="3"/>
      <c r="H12" s="3"/>
    </row>
  </sheetData>
  <mergeCells count="2">
    <mergeCell ref="A2:H2"/>
    <mergeCell ref="A12:H1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44"/>
    <col collapsed="false" customWidth="true" hidden="false" outlineLevel="0" max="5" min="5" style="0" width="26"/>
    <col collapsed="false" customWidth="true" hidden="false" outlineLevel="0" max="6" min="6" style="0" width="34"/>
    <col collapsed="false" customWidth="true" hidden="false" outlineLevel="0" max="7" min="7" style="0" width="18"/>
    <col collapsed="false" customWidth="true" hidden="false" outlineLevel="0" max="8" min="8" style="0" width="8"/>
  </cols>
  <sheetData>
    <row r="1" customFormat="false" ht="19.7" hidden="false" customHeight="false" outlineLevel="0" collapsed="false">
      <c r="A1" s="1" t="s">
        <v>829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830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9" t="s">
        <v>831</v>
      </c>
      <c r="B4" s="9" t="s">
        <v>832</v>
      </c>
      <c r="C4" s="9" t="s">
        <v>833</v>
      </c>
      <c r="D4" s="9" t="s">
        <v>834</v>
      </c>
      <c r="E4" s="9" t="s">
        <v>835</v>
      </c>
      <c r="F4" s="9" t="s">
        <v>690</v>
      </c>
      <c r="G4" s="9" t="s">
        <v>120</v>
      </c>
      <c r="H4" s="9" t="s">
        <v>122</v>
      </c>
    </row>
    <row r="5" customFormat="false" ht="15" hidden="false" customHeight="false" outlineLevel="0" collapsed="false">
      <c r="A5" s="11" t="s">
        <v>836</v>
      </c>
      <c r="B5" s="10" t="s">
        <v>837</v>
      </c>
      <c r="C5" s="10" t="s">
        <v>838</v>
      </c>
      <c r="D5" s="11" t="s">
        <v>839</v>
      </c>
      <c r="E5" s="12" t="s">
        <v>840</v>
      </c>
      <c r="F5" s="11" t="s">
        <v>841</v>
      </c>
      <c r="G5" s="12" t="s">
        <v>842</v>
      </c>
      <c r="H5" s="20" t="s">
        <v>73</v>
      </c>
    </row>
    <row r="6" customFormat="false" ht="15" hidden="false" customHeight="false" outlineLevel="0" collapsed="false">
      <c r="A6" s="11" t="s">
        <v>843</v>
      </c>
      <c r="B6" s="10" t="s">
        <v>844</v>
      </c>
      <c r="C6" s="10" t="s">
        <v>845</v>
      </c>
      <c r="D6" s="11" t="s">
        <v>846</v>
      </c>
      <c r="E6" s="12" t="s">
        <v>847</v>
      </c>
      <c r="F6" s="12"/>
      <c r="G6" s="12" t="s">
        <v>848</v>
      </c>
      <c r="H6" s="20" t="s">
        <v>73</v>
      </c>
    </row>
    <row r="7" customFormat="false" ht="26.85" hidden="false" customHeight="false" outlineLevel="0" collapsed="false">
      <c r="A7" s="11" t="s">
        <v>849</v>
      </c>
      <c r="B7" s="10" t="s">
        <v>850</v>
      </c>
      <c r="C7" s="10" t="s">
        <v>851</v>
      </c>
      <c r="D7" s="11" t="s">
        <v>852</v>
      </c>
      <c r="E7" s="12" t="s">
        <v>853</v>
      </c>
      <c r="F7" s="11" t="s">
        <v>854</v>
      </c>
      <c r="G7" s="12" t="s">
        <v>855</v>
      </c>
      <c r="H7" s="20" t="s">
        <v>73</v>
      </c>
    </row>
    <row r="8" customFormat="false" ht="39.55" hidden="false" customHeight="false" outlineLevel="0" collapsed="false">
      <c r="A8" s="11" t="s">
        <v>856</v>
      </c>
      <c r="B8" s="10" t="s">
        <v>857</v>
      </c>
      <c r="C8" s="10" t="s">
        <v>267</v>
      </c>
      <c r="D8" s="11" t="s">
        <v>858</v>
      </c>
      <c r="E8" s="11" t="s">
        <v>859</v>
      </c>
      <c r="F8" s="11" t="s">
        <v>860</v>
      </c>
      <c r="G8" s="12" t="s">
        <v>861</v>
      </c>
      <c r="H8" s="21" t="s">
        <v>75</v>
      </c>
    </row>
  </sheetData>
  <mergeCells count="1">
    <mergeCell ref="A2:H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4" min="3" style="0" width="22"/>
    <col collapsed="false" customWidth="true" hidden="false" outlineLevel="0" max="5" min="5" style="0" width="8"/>
  </cols>
  <sheetData>
    <row r="1" customFormat="false" ht="19.7" hidden="false" customHeight="false" outlineLevel="0" collapsed="false">
      <c r="A1" s="1" t="s">
        <v>62</v>
      </c>
      <c r="B1" s="2"/>
      <c r="C1" s="2"/>
      <c r="D1" s="2"/>
      <c r="E1" s="2"/>
    </row>
    <row r="2" customFormat="false" ht="30" hidden="false" customHeight="true" outlineLevel="0" collapsed="false">
      <c r="A2" s="3" t="s">
        <v>862</v>
      </c>
      <c r="B2" s="3"/>
      <c r="C2" s="3"/>
      <c r="D2" s="3"/>
      <c r="E2" s="3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9" t="s">
        <v>863</v>
      </c>
      <c r="B4" s="9" t="s">
        <v>864</v>
      </c>
      <c r="C4" s="9" t="s">
        <v>689</v>
      </c>
      <c r="D4" s="9" t="s">
        <v>120</v>
      </c>
      <c r="E4" s="9" t="s">
        <v>122</v>
      </c>
    </row>
    <row r="5" customFormat="false" ht="26.85" hidden="false" customHeight="false" outlineLevel="0" collapsed="false">
      <c r="A5" s="11" t="s">
        <v>865</v>
      </c>
      <c r="B5" s="12" t="s">
        <v>866</v>
      </c>
      <c r="C5" s="12" t="s">
        <v>867</v>
      </c>
      <c r="D5" s="12" t="s">
        <v>868</v>
      </c>
      <c r="E5" s="20" t="s">
        <v>73</v>
      </c>
    </row>
    <row r="6" customFormat="false" ht="26.85" hidden="false" customHeight="false" outlineLevel="0" collapsed="false">
      <c r="A6" s="11" t="s">
        <v>869</v>
      </c>
      <c r="B6" s="11" t="s">
        <v>870</v>
      </c>
      <c r="C6" s="12" t="s">
        <v>871</v>
      </c>
      <c r="D6" s="12" t="s">
        <v>375</v>
      </c>
      <c r="E6" s="20" t="s">
        <v>73</v>
      </c>
    </row>
    <row r="7" customFormat="false" ht="15" hidden="false" customHeight="false" outlineLevel="0" collapsed="false">
      <c r="A7" s="11" t="s">
        <v>872</v>
      </c>
      <c r="B7" s="11" t="s">
        <v>873</v>
      </c>
      <c r="C7" s="12" t="s">
        <v>871</v>
      </c>
      <c r="D7" s="12" t="s">
        <v>874</v>
      </c>
      <c r="E7" s="20" t="s">
        <v>73</v>
      </c>
    </row>
    <row r="8" customFormat="false" ht="15" hidden="false" customHeight="false" outlineLevel="0" collapsed="false">
      <c r="A8" s="11" t="s">
        <v>538</v>
      </c>
      <c r="B8" s="12" t="s">
        <v>875</v>
      </c>
      <c r="C8" s="12" t="s">
        <v>876</v>
      </c>
      <c r="D8" s="12" t="s">
        <v>877</v>
      </c>
      <c r="E8" s="20" t="s">
        <v>73</v>
      </c>
    </row>
    <row r="9" customFormat="false" ht="15" hidden="false" customHeight="false" outlineLevel="0" collapsed="false">
      <c r="A9" s="11" t="s">
        <v>878</v>
      </c>
      <c r="B9" s="11" t="s">
        <v>879</v>
      </c>
      <c r="C9" s="11" t="s">
        <v>880</v>
      </c>
      <c r="D9" s="12" t="s">
        <v>881</v>
      </c>
      <c r="E9" s="20" t="s">
        <v>73</v>
      </c>
    </row>
    <row r="10" customFormat="false" ht="15" hidden="false" customHeight="false" outlineLevel="0" collapsed="false">
      <c r="A10" s="11" t="s">
        <v>882</v>
      </c>
      <c r="B10" s="11" t="s">
        <v>883</v>
      </c>
      <c r="C10" s="11" t="s">
        <v>884</v>
      </c>
      <c r="D10" s="12" t="s">
        <v>885</v>
      </c>
      <c r="E10" s="20" t="s">
        <v>73</v>
      </c>
    </row>
    <row r="11" customFormat="false" ht="26.85" hidden="false" customHeight="false" outlineLevel="0" collapsed="false">
      <c r="A11" s="11" t="s">
        <v>886</v>
      </c>
      <c r="B11" s="11" t="s">
        <v>887</v>
      </c>
      <c r="C11" s="12" t="s">
        <v>888</v>
      </c>
      <c r="D11" s="12" t="s">
        <v>889</v>
      </c>
      <c r="E11" s="20" t="s">
        <v>73</v>
      </c>
    </row>
    <row r="12" customFormat="false" ht="26.85" hidden="false" customHeight="false" outlineLevel="0" collapsed="false">
      <c r="A12" s="11" t="s">
        <v>890</v>
      </c>
      <c r="B12" s="11" t="s">
        <v>891</v>
      </c>
      <c r="C12" s="12" t="s">
        <v>888</v>
      </c>
      <c r="D12" s="12" t="s">
        <v>892</v>
      </c>
      <c r="E12" s="20" t="s">
        <v>73</v>
      </c>
    </row>
    <row r="13" customFormat="false" ht="15" hidden="false" customHeight="false" outlineLevel="0" collapsed="false">
      <c r="A13" s="11" t="s">
        <v>893</v>
      </c>
      <c r="B13" s="12" t="s">
        <v>894</v>
      </c>
      <c r="C13" s="12" t="s">
        <v>895</v>
      </c>
      <c r="D13" s="12" t="s">
        <v>896</v>
      </c>
      <c r="E13" s="21" t="s">
        <v>75</v>
      </c>
    </row>
    <row r="14" customFormat="false" ht="15" hidden="false" customHeight="false" outlineLevel="0" collapsed="false">
      <c r="A14" s="11" t="s">
        <v>897</v>
      </c>
      <c r="B14" s="11" t="s">
        <v>898</v>
      </c>
      <c r="C14" s="12" t="s">
        <v>267</v>
      </c>
      <c r="D14" s="12" t="s">
        <v>899</v>
      </c>
      <c r="E14" s="21" t="s">
        <v>75</v>
      </c>
    </row>
  </sheetData>
  <mergeCells count="1">
    <mergeCell ref="A2:E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30"/>
    <col collapsed="false" customWidth="true" hidden="false" outlineLevel="0" max="4" min="4" style="0" width="52"/>
    <col collapsed="false" customWidth="true" hidden="false" outlineLevel="0" max="5" min="5" style="0" width="20"/>
    <col collapsed="false" customWidth="true" hidden="false" outlineLevel="0" max="6" min="6" style="0" width="36"/>
    <col collapsed="false" customWidth="true" hidden="false" outlineLevel="0" max="7" min="7" style="0" width="18"/>
    <col collapsed="false" customWidth="true" hidden="false" outlineLevel="0" max="8" min="8" style="0" width="8"/>
  </cols>
  <sheetData>
    <row r="1" customFormat="false" ht="19.7" hidden="false" customHeight="false" outlineLevel="0" collapsed="false">
      <c r="A1" s="1" t="s">
        <v>900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901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9" t="s">
        <v>902</v>
      </c>
      <c r="B4" s="9" t="s">
        <v>903</v>
      </c>
      <c r="C4" s="9" t="s">
        <v>687</v>
      </c>
      <c r="D4" s="9" t="s">
        <v>904</v>
      </c>
      <c r="E4" s="9" t="s">
        <v>905</v>
      </c>
      <c r="F4" s="9" t="s">
        <v>690</v>
      </c>
      <c r="G4" s="9" t="s">
        <v>120</v>
      </c>
      <c r="H4" s="9" t="s">
        <v>122</v>
      </c>
    </row>
    <row r="5" customFormat="false" ht="26.85" hidden="false" customHeight="false" outlineLevel="0" collapsed="false">
      <c r="A5" s="11" t="s">
        <v>906</v>
      </c>
      <c r="B5" s="12" t="s">
        <v>907</v>
      </c>
      <c r="C5" s="11" t="s">
        <v>908</v>
      </c>
      <c r="D5" s="11" t="s">
        <v>909</v>
      </c>
      <c r="E5" s="12" t="s">
        <v>910</v>
      </c>
      <c r="F5" s="11" t="s">
        <v>911</v>
      </c>
      <c r="G5" s="12" t="s">
        <v>912</v>
      </c>
      <c r="H5" s="20" t="s">
        <v>73</v>
      </c>
    </row>
    <row r="6" customFormat="false" ht="39.55" hidden="false" customHeight="false" outlineLevel="0" collapsed="false">
      <c r="A6" s="11" t="s">
        <v>906</v>
      </c>
      <c r="B6" s="12" t="s">
        <v>907</v>
      </c>
      <c r="C6" s="11" t="s">
        <v>913</v>
      </c>
      <c r="D6" s="12" t="s">
        <v>914</v>
      </c>
      <c r="E6" s="11" t="s">
        <v>915</v>
      </c>
      <c r="F6" s="11" t="s">
        <v>916</v>
      </c>
      <c r="G6" s="12" t="s">
        <v>917</v>
      </c>
      <c r="H6" s="20" t="s">
        <v>73</v>
      </c>
    </row>
    <row r="7" customFormat="false" ht="26.85" hidden="false" customHeight="false" outlineLevel="0" collapsed="false">
      <c r="A7" s="11" t="s">
        <v>906</v>
      </c>
      <c r="B7" s="11" t="s">
        <v>918</v>
      </c>
      <c r="C7" s="11" t="s">
        <v>919</v>
      </c>
      <c r="D7" s="11" t="s">
        <v>920</v>
      </c>
      <c r="E7" s="12" t="s">
        <v>876</v>
      </c>
      <c r="F7" s="11" t="s">
        <v>921</v>
      </c>
      <c r="G7" s="12" t="s">
        <v>922</v>
      </c>
      <c r="H7" s="21" t="s">
        <v>75</v>
      </c>
    </row>
    <row r="8" customFormat="false" ht="26.85" hidden="false" customHeight="false" outlineLevel="0" collapsed="false">
      <c r="A8" s="11" t="s">
        <v>923</v>
      </c>
      <c r="B8" s="11" t="s">
        <v>924</v>
      </c>
      <c r="C8" s="11" t="s">
        <v>925</v>
      </c>
      <c r="D8" s="11" t="s">
        <v>926</v>
      </c>
      <c r="E8" s="12" t="s">
        <v>927</v>
      </c>
      <c r="F8" s="11" t="s">
        <v>928</v>
      </c>
      <c r="G8" s="12" t="s">
        <v>929</v>
      </c>
      <c r="H8" s="20" t="s">
        <v>73</v>
      </c>
    </row>
    <row r="9" customFormat="false" ht="26.85" hidden="false" customHeight="false" outlineLevel="0" collapsed="false">
      <c r="A9" s="11" t="s">
        <v>923</v>
      </c>
      <c r="B9" s="11" t="s">
        <v>930</v>
      </c>
      <c r="C9" s="12" t="s">
        <v>931</v>
      </c>
      <c r="D9" s="12" t="s">
        <v>932</v>
      </c>
      <c r="E9" s="12" t="s">
        <v>933</v>
      </c>
      <c r="F9" s="11" t="s">
        <v>934</v>
      </c>
      <c r="G9" s="12" t="s">
        <v>935</v>
      </c>
      <c r="H9" s="20" t="s">
        <v>73</v>
      </c>
    </row>
    <row r="10" customFormat="false" ht="15" hidden="false" customHeight="false" outlineLevel="0" collapsed="false">
      <c r="A10" s="12" t="s">
        <v>936</v>
      </c>
      <c r="B10" s="11" t="s">
        <v>937</v>
      </c>
      <c r="C10" s="11" t="s">
        <v>938</v>
      </c>
      <c r="D10" s="11" t="s">
        <v>939</v>
      </c>
      <c r="E10" s="11" t="s">
        <v>502</v>
      </c>
      <c r="F10" s="11" t="s">
        <v>940</v>
      </c>
      <c r="G10" s="12" t="s">
        <v>941</v>
      </c>
      <c r="H10" s="20" t="s">
        <v>73</v>
      </c>
    </row>
    <row r="11" customFormat="false" ht="15" hidden="false" customHeight="false" outlineLevel="0" collapsed="false">
      <c r="A11" s="11" t="s">
        <v>942</v>
      </c>
      <c r="B11" s="12" t="s">
        <v>648</v>
      </c>
      <c r="C11" s="12" t="s">
        <v>943</v>
      </c>
      <c r="D11" s="11" t="s">
        <v>944</v>
      </c>
      <c r="E11" s="12" t="s">
        <v>945</v>
      </c>
      <c r="F11" s="11" t="s">
        <v>946</v>
      </c>
      <c r="G11" s="12" t="s">
        <v>947</v>
      </c>
      <c r="H11" s="20" t="s">
        <v>73</v>
      </c>
    </row>
    <row r="12" customFormat="false" ht="15" hidden="false" customHeight="false" outlineLevel="0" collapsed="false">
      <c r="A12" s="11" t="s">
        <v>948</v>
      </c>
      <c r="B12" s="12" t="s">
        <v>656</v>
      </c>
      <c r="C12" s="12" t="s">
        <v>949</v>
      </c>
      <c r="D12" s="11" t="s">
        <v>950</v>
      </c>
      <c r="E12" s="11" t="s">
        <v>951</v>
      </c>
      <c r="F12" s="12"/>
      <c r="G12" s="12" t="s">
        <v>952</v>
      </c>
      <c r="H12" s="20" t="s">
        <v>73</v>
      </c>
    </row>
    <row r="13" customFormat="false" ht="15" hidden="false" customHeight="false" outlineLevel="0" collapsed="false">
      <c r="A13" s="11" t="s">
        <v>953</v>
      </c>
      <c r="B13" s="12" t="s">
        <v>640</v>
      </c>
      <c r="C13" s="12" t="s">
        <v>954</v>
      </c>
      <c r="D13" s="11" t="s">
        <v>955</v>
      </c>
      <c r="E13" s="12" t="s">
        <v>956</v>
      </c>
      <c r="F13" s="12"/>
      <c r="G13" s="12" t="s">
        <v>647</v>
      </c>
      <c r="H13" s="20" t="s">
        <v>73</v>
      </c>
    </row>
    <row r="14" customFormat="false" ht="15" hidden="false" customHeight="false" outlineLevel="0" collapsed="false">
      <c r="A14" s="11" t="s">
        <v>957</v>
      </c>
      <c r="B14" s="12" t="s">
        <v>627</v>
      </c>
      <c r="C14" s="11" t="s">
        <v>958</v>
      </c>
      <c r="D14" s="11" t="s">
        <v>959</v>
      </c>
      <c r="E14" s="12" t="s">
        <v>960</v>
      </c>
      <c r="F14" s="12"/>
      <c r="G14" s="12" t="s">
        <v>961</v>
      </c>
      <c r="H14" s="20" t="s">
        <v>73</v>
      </c>
    </row>
    <row r="15" customFormat="false" ht="26.85" hidden="false" customHeight="false" outlineLevel="0" collapsed="false">
      <c r="A15" s="11" t="s">
        <v>962</v>
      </c>
      <c r="B15" s="11" t="s">
        <v>963</v>
      </c>
      <c r="C15" s="12" t="s">
        <v>267</v>
      </c>
      <c r="D15" s="11" t="s">
        <v>964</v>
      </c>
      <c r="E15" s="12" t="s">
        <v>933</v>
      </c>
      <c r="F15" s="11" t="s">
        <v>965</v>
      </c>
      <c r="G15" s="12" t="s">
        <v>966</v>
      </c>
      <c r="H15" s="21" t="s">
        <v>75</v>
      </c>
    </row>
  </sheetData>
  <mergeCells count="1">
    <mergeCell ref="A2:H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72"/>
    <col collapsed="false" customWidth="true" hidden="false" outlineLevel="0" max="5" min="5" style="0" width="20"/>
  </cols>
  <sheetData>
    <row r="1" customFormat="false" ht="20.85" hidden="false" customHeight="false" outlineLevel="0" collapsed="false">
      <c r="A1" s="1" t="s">
        <v>967</v>
      </c>
      <c r="B1" s="2"/>
      <c r="C1" s="2"/>
      <c r="D1" s="2"/>
      <c r="E1" s="2"/>
    </row>
    <row r="2" customFormat="false" ht="30" hidden="false" customHeight="true" outlineLevel="0" collapsed="false">
      <c r="A2" s="3" t="s">
        <v>968</v>
      </c>
      <c r="B2" s="3"/>
      <c r="C2" s="3"/>
      <c r="D2" s="3"/>
      <c r="E2" s="3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9" t="s">
        <v>969</v>
      </c>
      <c r="B4" s="9" t="s">
        <v>164</v>
      </c>
      <c r="C4" s="9" t="s">
        <v>492</v>
      </c>
      <c r="D4" s="9" t="s">
        <v>970</v>
      </c>
      <c r="E4" s="9" t="s">
        <v>120</v>
      </c>
    </row>
    <row r="5" customFormat="false" ht="15" hidden="false" customHeight="false" outlineLevel="0" collapsed="false">
      <c r="A5" s="10" t="s">
        <v>971</v>
      </c>
      <c r="B5" s="10" t="s">
        <v>789</v>
      </c>
      <c r="C5" s="22" t="s">
        <v>972</v>
      </c>
      <c r="D5" s="11" t="s">
        <v>973</v>
      </c>
      <c r="E5" s="12" t="s">
        <v>941</v>
      </c>
    </row>
    <row r="6" customFormat="false" ht="15" hidden="false" customHeight="false" outlineLevel="0" collapsed="false">
      <c r="A6" s="10" t="s">
        <v>974</v>
      </c>
      <c r="B6" s="10" t="s">
        <v>789</v>
      </c>
      <c r="C6" s="22" t="s">
        <v>975</v>
      </c>
      <c r="D6" s="12" t="s">
        <v>976</v>
      </c>
      <c r="E6" s="12" t="s">
        <v>580</v>
      </c>
    </row>
    <row r="7" customFormat="false" ht="15" hidden="false" customHeight="false" outlineLevel="0" collapsed="false">
      <c r="A7" s="10" t="s">
        <v>977</v>
      </c>
      <c r="B7" s="22" t="s">
        <v>978</v>
      </c>
      <c r="C7" s="22" t="s">
        <v>979</v>
      </c>
      <c r="D7" s="11" t="s">
        <v>980</v>
      </c>
      <c r="E7" s="12" t="s">
        <v>981</v>
      </c>
    </row>
    <row r="8" customFormat="false" ht="15" hidden="false" customHeight="false" outlineLevel="0" collapsed="false">
      <c r="A8" s="10" t="s">
        <v>982</v>
      </c>
      <c r="B8" s="10" t="s">
        <v>789</v>
      </c>
      <c r="C8" s="22" t="s">
        <v>972</v>
      </c>
      <c r="D8" s="11" t="s">
        <v>983</v>
      </c>
      <c r="E8" s="12" t="s">
        <v>984</v>
      </c>
    </row>
    <row r="9" customFormat="false" ht="15" hidden="false" customHeight="false" outlineLevel="0" collapsed="false">
      <c r="A9" s="10" t="s">
        <v>636</v>
      </c>
      <c r="B9" s="10" t="s">
        <v>789</v>
      </c>
      <c r="C9" s="22" t="s">
        <v>975</v>
      </c>
      <c r="D9" s="12" t="s">
        <v>985</v>
      </c>
      <c r="E9" s="12" t="s">
        <v>580</v>
      </c>
    </row>
    <row r="10" customFormat="false" ht="15" hidden="false" customHeight="false" outlineLevel="0" collapsed="false">
      <c r="A10" s="10" t="s">
        <v>986</v>
      </c>
      <c r="B10" s="10" t="s">
        <v>789</v>
      </c>
      <c r="C10" s="22" t="s">
        <v>975</v>
      </c>
      <c r="D10" s="12" t="s">
        <v>987</v>
      </c>
      <c r="E10" s="12" t="s">
        <v>988</v>
      </c>
    </row>
    <row r="11" customFormat="false" ht="15" hidden="false" customHeight="false" outlineLevel="0" collapsed="false">
      <c r="A11" s="10" t="s">
        <v>989</v>
      </c>
      <c r="B11" s="10" t="s">
        <v>789</v>
      </c>
      <c r="C11" s="22" t="s">
        <v>979</v>
      </c>
      <c r="D11" s="12" t="s">
        <v>990</v>
      </c>
      <c r="E11" s="12" t="s">
        <v>991</v>
      </c>
    </row>
    <row r="12" customFormat="false" ht="15" hidden="false" customHeight="false" outlineLevel="0" collapsed="false">
      <c r="A12" s="10" t="s">
        <v>992</v>
      </c>
      <c r="B12" s="10" t="s">
        <v>789</v>
      </c>
      <c r="C12" s="22" t="s">
        <v>975</v>
      </c>
      <c r="D12" s="12" t="s">
        <v>993</v>
      </c>
      <c r="E12" s="12" t="s">
        <v>580</v>
      </c>
    </row>
    <row r="13" customFormat="false" ht="15" hidden="false" customHeight="false" outlineLevel="0" collapsed="false">
      <c r="A13" s="10" t="s">
        <v>994</v>
      </c>
      <c r="B13" s="22" t="s">
        <v>978</v>
      </c>
      <c r="C13" s="22" t="s">
        <v>995</v>
      </c>
      <c r="D13" s="11" t="s">
        <v>996</v>
      </c>
      <c r="E13" s="12" t="s">
        <v>997</v>
      </c>
    </row>
    <row r="14" customFormat="false" ht="15" hidden="false" customHeight="false" outlineLevel="0" collapsed="false">
      <c r="A14" s="10" t="s">
        <v>998</v>
      </c>
      <c r="B14" s="22" t="s">
        <v>999</v>
      </c>
      <c r="C14" s="10" t="s">
        <v>265</v>
      </c>
      <c r="D14" s="11" t="s">
        <v>1000</v>
      </c>
      <c r="E14" s="12" t="s">
        <v>1001</v>
      </c>
    </row>
    <row r="15" customFormat="false" ht="15" hidden="false" customHeight="false" outlineLevel="0" collapsed="false">
      <c r="A15" s="10" t="s">
        <v>1002</v>
      </c>
      <c r="B15" s="22" t="s">
        <v>999</v>
      </c>
      <c r="C15" s="22" t="s">
        <v>923</v>
      </c>
      <c r="D15" s="11" t="s">
        <v>1003</v>
      </c>
      <c r="E15" s="12" t="s">
        <v>1004</v>
      </c>
    </row>
    <row r="16" customFormat="false" ht="15" hidden="false" customHeight="false" outlineLevel="0" collapsed="false">
      <c r="A16" s="10" t="s">
        <v>1005</v>
      </c>
      <c r="B16" s="22" t="s">
        <v>978</v>
      </c>
      <c r="C16" s="22" t="s">
        <v>1006</v>
      </c>
      <c r="D16" s="11" t="s">
        <v>1007</v>
      </c>
      <c r="E16" s="12" t="s">
        <v>1008</v>
      </c>
    </row>
    <row r="17" customFormat="false" ht="15" hidden="false" customHeight="false" outlineLevel="0" collapsed="false">
      <c r="A17" s="10" t="s">
        <v>1009</v>
      </c>
      <c r="B17" s="10" t="s">
        <v>789</v>
      </c>
      <c r="C17" s="22" t="s">
        <v>1010</v>
      </c>
      <c r="D17" s="11" t="s">
        <v>1011</v>
      </c>
      <c r="E17" s="12" t="s">
        <v>848</v>
      </c>
    </row>
    <row r="18" customFormat="false" ht="15" hidden="false" customHeight="false" outlineLevel="0" collapsed="false">
      <c r="A18" s="10" t="s">
        <v>1012</v>
      </c>
      <c r="B18" s="22" t="s">
        <v>978</v>
      </c>
      <c r="C18" s="22" t="s">
        <v>995</v>
      </c>
      <c r="D18" s="11" t="s">
        <v>1013</v>
      </c>
      <c r="E18" s="12" t="s">
        <v>1014</v>
      </c>
    </row>
    <row r="19" customFormat="false" ht="15" hidden="false" customHeight="false" outlineLevel="0" collapsed="false">
      <c r="A19" s="10" t="s">
        <v>895</v>
      </c>
      <c r="B19" s="22" t="s">
        <v>978</v>
      </c>
      <c r="C19" s="22" t="s">
        <v>323</v>
      </c>
      <c r="D19" s="11" t="s">
        <v>1015</v>
      </c>
      <c r="E19" s="12" t="s">
        <v>896</v>
      </c>
    </row>
    <row r="20" customFormat="false" ht="15" hidden="false" customHeight="false" outlineLevel="0" collapsed="false">
      <c r="A20" s="10" t="s">
        <v>1016</v>
      </c>
      <c r="B20" s="10" t="s">
        <v>789</v>
      </c>
      <c r="C20" s="22" t="s">
        <v>979</v>
      </c>
      <c r="D20" s="12" t="s">
        <v>1017</v>
      </c>
      <c r="E20" s="12" t="s">
        <v>519</v>
      </c>
    </row>
    <row r="21" customFormat="false" ht="15" hidden="false" customHeight="false" outlineLevel="0" collapsed="false">
      <c r="A21" s="10" t="s">
        <v>1018</v>
      </c>
      <c r="B21" s="10" t="s">
        <v>789</v>
      </c>
      <c r="C21" s="22" t="s">
        <v>975</v>
      </c>
      <c r="D21" s="12" t="s">
        <v>1019</v>
      </c>
      <c r="E21" s="12" t="s">
        <v>961</v>
      </c>
    </row>
    <row r="22" customFormat="false" ht="15" hidden="false" customHeight="false" outlineLevel="0" collapsed="false">
      <c r="A22" s="10" t="s">
        <v>643</v>
      </c>
      <c r="B22" s="10" t="s">
        <v>789</v>
      </c>
      <c r="C22" s="22" t="s">
        <v>975</v>
      </c>
      <c r="D22" s="12" t="s">
        <v>1020</v>
      </c>
      <c r="E22" s="12" t="s">
        <v>1021</v>
      </c>
    </row>
    <row r="23" customFormat="false" ht="15" hidden="false" customHeight="false" outlineLevel="0" collapsed="false">
      <c r="A23" s="10" t="s">
        <v>1022</v>
      </c>
      <c r="B23" s="22" t="s">
        <v>999</v>
      </c>
      <c r="C23" s="22" t="s">
        <v>906</v>
      </c>
      <c r="D23" s="11" t="s">
        <v>1023</v>
      </c>
      <c r="E23" s="12" t="s">
        <v>1024</v>
      </c>
    </row>
    <row r="24" customFormat="false" ht="15" hidden="false" customHeight="false" outlineLevel="0" collapsed="false">
      <c r="A24" s="10" t="s">
        <v>1025</v>
      </c>
      <c r="B24" s="22" t="s">
        <v>999</v>
      </c>
      <c r="C24" s="22" t="s">
        <v>923</v>
      </c>
      <c r="D24" s="11" t="s">
        <v>1026</v>
      </c>
      <c r="E24" s="12" t="s">
        <v>1027</v>
      </c>
    </row>
    <row r="25" customFormat="false" ht="15" hidden="false" customHeight="false" outlineLevel="0" collapsed="false">
      <c r="A25" s="10" t="s">
        <v>1028</v>
      </c>
      <c r="B25" s="10" t="s">
        <v>789</v>
      </c>
      <c r="C25" s="22" t="s">
        <v>1029</v>
      </c>
      <c r="D25" s="12" t="s">
        <v>1030</v>
      </c>
      <c r="E25" s="12" t="s">
        <v>868</v>
      </c>
    </row>
    <row r="26" customFormat="false" ht="15" hidden="false" customHeight="false" outlineLevel="0" collapsed="false">
      <c r="A26" s="10" t="s">
        <v>1031</v>
      </c>
      <c r="B26" s="22" t="s">
        <v>978</v>
      </c>
      <c r="C26" s="22" t="s">
        <v>1032</v>
      </c>
      <c r="D26" s="11" t="s">
        <v>1033</v>
      </c>
      <c r="E26" s="12" t="s">
        <v>787</v>
      </c>
    </row>
    <row r="27" customFormat="false" ht="15" hidden="false" customHeight="false" outlineLevel="0" collapsed="false">
      <c r="A27" s="10" t="s">
        <v>1034</v>
      </c>
      <c r="B27" s="10" t="s">
        <v>789</v>
      </c>
      <c r="C27" s="22" t="s">
        <v>1035</v>
      </c>
      <c r="D27" s="11" t="s">
        <v>1036</v>
      </c>
      <c r="E27" s="12" t="s">
        <v>1037</v>
      </c>
    </row>
    <row r="28" customFormat="false" ht="15" hidden="false" customHeight="false" outlineLevel="0" collapsed="false">
      <c r="A28" s="10" t="s">
        <v>1038</v>
      </c>
      <c r="B28" s="10" t="s">
        <v>789</v>
      </c>
      <c r="C28" s="22" t="s">
        <v>979</v>
      </c>
      <c r="D28" s="11" t="s">
        <v>1039</v>
      </c>
      <c r="E28" s="12" t="s">
        <v>1040</v>
      </c>
    </row>
    <row r="29" customFormat="false" ht="15" hidden="false" customHeight="false" outlineLevel="0" collapsed="false">
      <c r="A29" s="10" t="s">
        <v>1041</v>
      </c>
      <c r="B29" s="22" t="s">
        <v>999</v>
      </c>
      <c r="C29" s="22" t="s">
        <v>923</v>
      </c>
      <c r="D29" s="11" t="s">
        <v>1042</v>
      </c>
      <c r="E29" s="12" t="s">
        <v>1043</v>
      </c>
    </row>
    <row r="30" customFormat="false" ht="15" hidden="false" customHeight="false" outlineLevel="0" collapsed="false">
      <c r="A30" s="10" t="s">
        <v>658</v>
      </c>
      <c r="B30" s="10" t="s">
        <v>789</v>
      </c>
      <c r="C30" s="22" t="s">
        <v>975</v>
      </c>
      <c r="D30" s="12" t="s">
        <v>1044</v>
      </c>
      <c r="E30" s="12" t="s">
        <v>1045</v>
      </c>
    </row>
    <row r="31" customFormat="false" ht="15" hidden="false" customHeight="false" outlineLevel="0" collapsed="false">
      <c r="A31" s="10" t="s">
        <v>1046</v>
      </c>
      <c r="B31" s="22" t="s">
        <v>978</v>
      </c>
      <c r="C31" s="22" t="s">
        <v>1047</v>
      </c>
      <c r="D31" s="11" t="s">
        <v>1048</v>
      </c>
      <c r="E31" s="12" t="s">
        <v>1049</v>
      </c>
    </row>
    <row r="32" customFormat="false" ht="15" hidden="false" customHeight="false" outlineLevel="0" collapsed="false">
      <c r="A32" s="10" t="s">
        <v>1050</v>
      </c>
      <c r="B32" s="10" t="s">
        <v>1051</v>
      </c>
      <c r="C32" s="22" t="s">
        <v>1029</v>
      </c>
      <c r="D32" s="12" t="s">
        <v>1052</v>
      </c>
      <c r="E32" s="12" t="s">
        <v>1053</v>
      </c>
    </row>
    <row r="33" customFormat="false" ht="15" hidden="false" customHeight="false" outlineLevel="0" collapsed="false">
      <c r="A33" s="10" t="s">
        <v>1054</v>
      </c>
      <c r="B33" s="10" t="s">
        <v>1051</v>
      </c>
      <c r="C33" s="22" t="s">
        <v>1055</v>
      </c>
      <c r="D33" s="12" t="s">
        <v>1056</v>
      </c>
      <c r="E33" s="12" t="s">
        <v>1057</v>
      </c>
    </row>
    <row r="34" customFormat="false" ht="15" hidden="false" customHeight="false" outlineLevel="0" collapsed="false">
      <c r="A34" s="10" t="s">
        <v>1058</v>
      </c>
      <c r="B34" s="10" t="s">
        <v>789</v>
      </c>
      <c r="C34" s="22" t="s">
        <v>1032</v>
      </c>
      <c r="D34" s="11" t="s">
        <v>1059</v>
      </c>
      <c r="E34" s="12" t="s">
        <v>773</v>
      </c>
    </row>
    <row r="35" customFormat="false" ht="15" hidden="false" customHeight="false" outlineLevel="0" collapsed="false">
      <c r="A35" s="10" t="s">
        <v>1060</v>
      </c>
      <c r="B35" s="22" t="s">
        <v>999</v>
      </c>
      <c r="C35" s="22" t="s">
        <v>923</v>
      </c>
      <c r="D35" s="11" t="s">
        <v>1061</v>
      </c>
      <c r="E35" s="12" t="s">
        <v>1062</v>
      </c>
    </row>
    <row r="36" customFormat="false" ht="15" hidden="false" customHeight="false" outlineLevel="0" collapsed="false">
      <c r="A36" s="10" t="s">
        <v>1063</v>
      </c>
      <c r="B36" s="22" t="s">
        <v>978</v>
      </c>
      <c r="C36" s="22" t="s">
        <v>995</v>
      </c>
      <c r="D36" s="11" t="s">
        <v>1064</v>
      </c>
      <c r="E36" s="12" t="s">
        <v>1065</v>
      </c>
    </row>
    <row r="37" customFormat="false" ht="15" hidden="false" customHeight="false" outlineLevel="0" collapsed="false">
      <c r="A37" s="10" t="s">
        <v>1066</v>
      </c>
      <c r="B37" s="22" t="s">
        <v>978</v>
      </c>
      <c r="C37" s="22" t="s">
        <v>1067</v>
      </c>
      <c r="D37" s="11" t="s">
        <v>1068</v>
      </c>
      <c r="E37" s="12" t="s">
        <v>703</v>
      </c>
    </row>
    <row r="38" customFormat="false" ht="15" hidden="false" customHeight="false" outlineLevel="0" collapsed="false">
      <c r="A38" s="10" t="s">
        <v>1069</v>
      </c>
      <c r="B38" s="22" t="s">
        <v>978</v>
      </c>
      <c r="C38" s="22" t="s">
        <v>323</v>
      </c>
      <c r="D38" s="11" t="s">
        <v>1070</v>
      </c>
      <c r="E38" s="12" t="s">
        <v>892</v>
      </c>
    </row>
    <row r="39" customFormat="false" ht="15" hidden="false" customHeight="false" outlineLevel="0" collapsed="false">
      <c r="A39" s="10" t="s">
        <v>1071</v>
      </c>
      <c r="B39" s="22" t="s">
        <v>978</v>
      </c>
      <c r="C39" s="22" t="s">
        <v>1072</v>
      </c>
      <c r="D39" s="11" t="s">
        <v>1073</v>
      </c>
      <c r="E39" s="12" t="s">
        <v>1074</v>
      </c>
    </row>
    <row r="40" customFormat="false" ht="15" hidden="false" customHeight="false" outlineLevel="0" collapsed="false">
      <c r="A40" s="10" t="s">
        <v>1075</v>
      </c>
      <c r="B40" s="22" t="s">
        <v>978</v>
      </c>
      <c r="C40" s="22" t="s">
        <v>1067</v>
      </c>
      <c r="D40" s="11" t="s">
        <v>1076</v>
      </c>
      <c r="E40" s="12" t="s">
        <v>715</v>
      </c>
    </row>
    <row r="41" customFormat="false" ht="15" hidden="false" customHeight="false" outlineLevel="0" collapsed="false">
      <c r="A41" s="10" t="s">
        <v>1077</v>
      </c>
      <c r="B41" s="10" t="s">
        <v>789</v>
      </c>
      <c r="C41" s="22" t="s">
        <v>975</v>
      </c>
      <c r="D41" s="12" t="s">
        <v>1078</v>
      </c>
      <c r="E41" s="12" t="s">
        <v>647</v>
      </c>
    </row>
    <row r="42" customFormat="false" ht="15" hidden="false" customHeight="false" outlineLevel="0" collapsed="false">
      <c r="A42" s="10" t="s">
        <v>1079</v>
      </c>
      <c r="B42" s="22" t="s">
        <v>1080</v>
      </c>
      <c r="C42" s="22" t="s">
        <v>1081</v>
      </c>
      <c r="D42" s="11" t="s">
        <v>1082</v>
      </c>
      <c r="E42" s="12" t="s">
        <v>1083</v>
      </c>
    </row>
    <row r="43" customFormat="false" ht="15" hidden="false" customHeight="false" outlineLevel="0" collapsed="false">
      <c r="A43" s="10" t="s">
        <v>1084</v>
      </c>
      <c r="B43" s="22" t="s">
        <v>978</v>
      </c>
      <c r="C43" s="22" t="s">
        <v>1029</v>
      </c>
      <c r="D43" s="11" t="s">
        <v>1085</v>
      </c>
      <c r="E43" s="12" t="s">
        <v>885</v>
      </c>
    </row>
    <row r="44" customFormat="false" ht="15" hidden="false" customHeight="false" outlineLevel="0" collapsed="false">
      <c r="A44" s="10" t="s">
        <v>1086</v>
      </c>
      <c r="B44" s="22" t="s">
        <v>978</v>
      </c>
      <c r="C44" s="22" t="s">
        <v>1067</v>
      </c>
      <c r="D44" s="11" t="s">
        <v>1087</v>
      </c>
      <c r="E44" s="12" t="s">
        <v>1088</v>
      </c>
    </row>
    <row r="45" customFormat="false" ht="15" hidden="false" customHeight="false" outlineLevel="0" collapsed="false">
      <c r="A45" s="30" t="s">
        <v>1089</v>
      </c>
      <c r="B45" s="30" t="s">
        <v>789</v>
      </c>
      <c r="C45" s="31" t="s">
        <v>975</v>
      </c>
      <c r="D45" s="32" t="s">
        <v>1090</v>
      </c>
      <c r="E45" s="33" t="s">
        <v>655</v>
      </c>
    </row>
    <row r="46" customFormat="false" ht="15" hidden="false" customHeight="false" outlineLevel="0" collapsed="false">
      <c r="A46" s="30" t="s">
        <v>1091</v>
      </c>
      <c r="B46" s="30" t="s">
        <v>789</v>
      </c>
      <c r="C46" s="31" t="s">
        <v>975</v>
      </c>
      <c r="D46" s="32" t="s">
        <v>1092</v>
      </c>
      <c r="E46" s="33" t="s">
        <v>1093</v>
      </c>
    </row>
    <row r="47" customFormat="false" ht="15" hidden="false" customHeight="false" outlineLevel="0" collapsed="false">
      <c r="A47" s="30" t="s">
        <v>1094</v>
      </c>
      <c r="B47" s="30" t="s">
        <v>789</v>
      </c>
      <c r="C47" s="31" t="s">
        <v>1095</v>
      </c>
      <c r="D47" s="32" t="s">
        <v>1096</v>
      </c>
      <c r="E47" s="33" t="s">
        <v>1097</v>
      </c>
    </row>
    <row r="48" customFormat="false" ht="15" hidden="false" customHeight="false" outlineLevel="0" collapsed="false">
      <c r="A48" s="30" t="s">
        <v>1098</v>
      </c>
      <c r="B48" s="31" t="s">
        <v>978</v>
      </c>
      <c r="C48" s="31" t="s">
        <v>995</v>
      </c>
      <c r="D48" s="32" t="s">
        <v>1099</v>
      </c>
      <c r="E48" s="33" t="s">
        <v>1100</v>
      </c>
    </row>
    <row r="49" customFormat="false" ht="15" hidden="false" customHeight="false" outlineLevel="0" collapsed="false">
      <c r="A49" s="30" t="s">
        <v>1101</v>
      </c>
      <c r="B49" s="31" t="s">
        <v>978</v>
      </c>
      <c r="C49" s="31" t="s">
        <v>1006</v>
      </c>
      <c r="D49" s="32" t="s">
        <v>1102</v>
      </c>
      <c r="E49" s="33" t="s">
        <v>885</v>
      </c>
    </row>
  </sheetData>
  <mergeCells count="1">
    <mergeCell ref="A2:E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52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7" min="7" style="0" width="12"/>
  </cols>
  <sheetData>
    <row r="1" customFormat="false" ht="19.7" hidden="false" customHeight="false" outlineLevel="0" collapsed="false">
      <c r="A1" s="1" t="s">
        <v>1103</v>
      </c>
      <c r="B1" s="2"/>
      <c r="C1" s="2"/>
      <c r="D1" s="2"/>
      <c r="E1" s="2"/>
      <c r="F1" s="2"/>
      <c r="G1" s="2"/>
    </row>
    <row r="2" customFormat="false" ht="30" hidden="false" customHeight="true" outlineLevel="0" collapsed="false">
      <c r="A2" s="3" t="s">
        <v>1104</v>
      </c>
      <c r="B2" s="3"/>
      <c r="C2" s="3"/>
      <c r="D2" s="3"/>
      <c r="E2" s="3"/>
      <c r="F2" s="3"/>
      <c r="G2" s="3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2"/>
      <c r="B4" s="4" t="s">
        <v>1105</v>
      </c>
      <c r="C4" s="5"/>
      <c r="D4" s="5"/>
      <c r="E4" s="2"/>
      <c r="F4" s="34" t="s">
        <v>1106</v>
      </c>
      <c r="G4" s="34" t="s">
        <v>1107</v>
      </c>
    </row>
    <row r="5" customFormat="false" ht="15" hidden="false" customHeight="false" outlineLevel="0" collapsed="false">
      <c r="A5" s="2"/>
      <c r="B5" s="14" t="s">
        <v>1108</v>
      </c>
      <c r="C5" s="35" t="s">
        <v>1109</v>
      </c>
      <c r="D5" s="36" t="s">
        <v>1110</v>
      </c>
      <c r="E5" s="2"/>
      <c r="F5" s="37" t="s">
        <v>1111</v>
      </c>
      <c r="G5" s="38" t="n">
        <v>1</v>
      </c>
    </row>
    <row r="6" customFormat="false" ht="15" hidden="false" customHeight="false" outlineLevel="0" collapsed="false">
      <c r="A6" s="2"/>
      <c r="B6" s="14" t="s">
        <v>797</v>
      </c>
      <c r="C6" s="35" t="s">
        <v>803</v>
      </c>
      <c r="D6" s="36" t="s">
        <v>1112</v>
      </c>
      <c r="E6" s="2"/>
      <c r="F6" s="37" t="s">
        <v>1113</v>
      </c>
      <c r="G6" s="38" t="n">
        <v>0.75</v>
      </c>
    </row>
    <row r="7" customFormat="false" ht="15" hidden="false" customHeight="false" outlineLevel="0" collapsed="false">
      <c r="A7" s="2"/>
      <c r="B7" s="14" t="s">
        <v>1114</v>
      </c>
      <c r="C7" s="39" t="n">
        <v>10000</v>
      </c>
      <c r="D7" s="36" t="s">
        <v>1115</v>
      </c>
      <c r="E7" s="2"/>
      <c r="F7" s="37" t="s">
        <v>1116</v>
      </c>
      <c r="G7" s="38" t="n">
        <v>0</v>
      </c>
    </row>
    <row r="8" customFormat="false" ht="15" hidden="false" customHeight="false" outlineLevel="0" collapsed="false">
      <c r="A8" s="2"/>
      <c r="B8" s="14" t="s">
        <v>1117</v>
      </c>
      <c r="C8" s="39" t="n">
        <v>800</v>
      </c>
      <c r="D8" s="40" t="s">
        <v>1118</v>
      </c>
      <c r="E8" s="2"/>
      <c r="F8" s="37" t="s">
        <v>1119</v>
      </c>
      <c r="G8" s="38" t="n">
        <v>0</v>
      </c>
    </row>
    <row r="9" customFormat="false" ht="15" hidden="false" customHeight="false" outlineLevel="0" collapsed="false">
      <c r="A9" s="2"/>
      <c r="B9" s="14" t="s">
        <v>1120</v>
      </c>
      <c r="C9" s="39" t="n">
        <v>30</v>
      </c>
      <c r="D9" s="36"/>
      <c r="E9" s="2"/>
      <c r="F9" s="41" t="s">
        <v>1121</v>
      </c>
      <c r="G9" s="38" t="n">
        <v>0</v>
      </c>
    </row>
    <row r="10" customFormat="false" ht="15" hidden="false" customHeight="false" outlineLevel="0" collapsed="false">
      <c r="A10" s="2"/>
      <c r="B10" s="14" t="s">
        <v>1122</v>
      </c>
      <c r="C10" s="39" t="n">
        <v>0</v>
      </c>
      <c r="D10" s="36" t="s">
        <v>1123</v>
      </c>
      <c r="E10" s="2"/>
      <c r="F10" s="2"/>
      <c r="G10" s="2"/>
    </row>
    <row r="11" customFormat="false" ht="15" hidden="false" customHeight="false" outlineLevel="0" collapsed="false">
      <c r="A11" s="2"/>
      <c r="B11" s="14" t="s">
        <v>1124</v>
      </c>
      <c r="C11" s="42" t="n">
        <v>3</v>
      </c>
      <c r="D11" s="36" t="s">
        <v>1125</v>
      </c>
      <c r="E11" s="2"/>
      <c r="F11" s="34" t="s">
        <v>351</v>
      </c>
      <c r="G11" s="2"/>
    </row>
    <row r="12" customFormat="false" ht="15" hidden="false" customHeight="false" outlineLevel="0" collapsed="false">
      <c r="A12" s="2"/>
      <c r="B12" s="14" t="s">
        <v>1126</v>
      </c>
      <c r="C12" s="42" t="n">
        <v>3.4</v>
      </c>
      <c r="D12" s="36" t="s">
        <v>1127</v>
      </c>
      <c r="E12" s="2"/>
      <c r="F12" s="37" t="s">
        <v>361</v>
      </c>
      <c r="G12" s="2"/>
    </row>
    <row r="13" customFormat="false" ht="15" hidden="false" customHeight="false" outlineLevel="0" collapsed="false">
      <c r="A13" s="2"/>
      <c r="B13" s="14" t="s">
        <v>351</v>
      </c>
      <c r="C13" s="35" t="s">
        <v>361</v>
      </c>
      <c r="D13" s="36" t="s">
        <v>1128</v>
      </c>
      <c r="E13" s="2"/>
      <c r="F13" s="37" t="s">
        <v>450</v>
      </c>
      <c r="G13" s="2"/>
    </row>
    <row r="14" customFormat="false" ht="15" hidden="false" customHeight="false" outlineLevel="0" collapsed="false">
      <c r="A14" s="2"/>
      <c r="B14" s="15" t="s">
        <v>1129</v>
      </c>
      <c r="C14" s="43" t="n">
        <v>0.1</v>
      </c>
      <c r="D14" s="36" t="s">
        <v>1130</v>
      </c>
      <c r="E14" s="2"/>
      <c r="F14" s="37" t="s">
        <v>1131</v>
      </c>
      <c r="G14" s="2"/>
    </row>
    <row r="15" customFormat="false" ht="15" hidden="false" customHeight="false" outlineLevel="0" collapsed="false">
      <c r="A15" s="2"/>
      <c r="B15" s="15" t="s">
        <v>1132</v>
      </c>
      <c r="C15" s="44" t="n">
        <v>0</v>
      </c>
      <c r="D15" s="36" t="s">
        <v>1133</v>
      </c>
      <c r="E15" s="2"/>
      <c r="F15" s="37" t="s">
        <v>1134</v>
      </c>
      <c r="G15" s="2"/>
    </row>
    <row r="16" customFormat="false" ht="15" hidden="false" customHeight="false" outlineLevel="0" collapsed="false">
      <c r="A16" s="2"/>
      <c r="B16" s="14" t="s">
        <v>1135</v>
      </c>
      <c r="C16" s="44" t="n">
        <v>0</v>
      </c>
      <c r="D16" s="36" t="s">
        <v>1136</v>
      </c>
      <c r="E16" s="2"/>
      <c r="F16" s="2"/>
      <c r="G16" s="2"/>
    </row>
    <row r="17" customFormat="false" ht="15" hidden="false" customHeight="false" outlineLevel="0" collapsed="false">
      <c r="A17" s="2"/>
      <c r="B17" s="14" t="s">
        <v>1106</v>
      </c>
      <c r="C17" s="35" t="s">
        <v>1137</v>
      </c>
      <c r="D17" s="36" t="s">
        <v>1138</v>
      </c>
      <c r="E17" s="2"/>
      <c r="F17" s="34" t="s">
        <v>1139</v>
      </c>
      <c r="G17" s="2"/>
    </row>
    <row r="18" customFormat="false" ht="15" hidden="false" customHeight="false" outlineLevel="0" collapsed="false">
      <c r="A18" s="2"/>
      <c r="B18" s="14" t="s">
        <v>1140</v>
      </c>
      <c r="C18" s="43" t="n">
        <v>0</v>
      </c>
      <c r="D18" s="36" t="s">
        <v>1141</v>
      </c>
      <c r="E18" s="2"/>
      <c r="F18" s="45" t="n">
        <v>0.2</v>
      </c>
      <c r="G18" s="2"/>
    </row>
    <row r="19" customFormat="false" ht="15" hidden="false" customHeight="false" outlineLevel="0" collapsed="false">
      <c r="A19" s="2"/>
      <c r="B19" s="14" t="s">
        <v>1142</v>
      </c>
      <c r="C19" s="39" t="n">
        <v>0</v>
      </c>
      <c r="D19" s="36" t="s">
        <v>1143</v>
      </c>
      <c r="E19" s="2"/>
      <c r="F19" s="45" t="n">
        <v>0.1</v>
      </c>
      <c r="G19" s="2"/>
    </row>
    <row r="20" customFormat="false" ht="15" hidden="false" customHeight="false" outlineLevel="0" collapsed="false">
      <c r="A20" s="2"/>
      <c r="B20" s="14" t="s">
        <v>1139</v>
      </c>
      <c r="C20" s="43" t="n">
        <v>0.2</v>
      </c>
      <c r="D20" s="40" t="s">
        <v>1144</v>
      </c>
      <c r="E20" s="2"/>
      <c r="F20" s="45" t="n">
        <v>0</v>
      </c>
      <c r="G20" s="2"/>
    </row>
    <row r="21" customFormat="false" ht="15" hidden="false" customHeight="false" outlineLevel="0" collapsed="false">
      <c r="A21" s="2"/>
      <c r="B21" s="14" t="s">
        <v>1145</v>
      </c>
      <c r="C21" s="39" t="n">
        <v>0</v>
      </c>
      <c r="D21" s="36" t="s">
        <v>1146</v>
      </c>
      <c r="E21" s="2"/>
      <c r="F21" s="2"/>
      <c r="G21" s="2"/>
    </row>
    <row r="22" customFormat="false" ht="15" hidden="false" customHeight="false" outlineLevel="0" collapsed="false">
      <c r="A22" s="2"/>
      <c r="B22" s="14" t="s">
        <v>1147</v>
      </c>
      <c r="C22" s="39" t="n">
        <v>0</v>
      </c>
      <c r="D22" s="36" t="s">
        <v>1148</v>
      </c>
      <c r="E22" s="2"/>
      <c r="F22" s="46" t="s">
        <v>1149</v>
      </c>
      <c r="G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</row>
    <row r="24" customFormat="false" ht="15" hidden="false" customHeight="false" outlineLevel="0" collapsed="false">
      <c r="A24" s="2"/>
      <c r="B24" s="4" t="s">
        <v>1150</v>
      </c>
      <c r="C24" s="5"/>
      <c r="D24" s="5"/>
      <c r="E24" s="2"/>
      <c r="F24" s="2"/>
      <c r="G24" s="2"/>
    </row>
    <row r="25" customFormat="false" ht="15" hidden="false" customHeight="false" outlineLevel="0" collapsed="false">
      <c r="A25" s="2"/>
      <c r="B25" s="14" t="s">
        <v>1151</v>
      </c>
      <c r="C25" s="47" t="n">
        <f aca="false">C7+C8+C9+C10</f>
        <v>10830</v>
      </c>
      <c r="D25" s="46" t="s">
        <v>1152</v>
      </c>
      <c r="E25" s="2"/>
      <c r="F25" s="2"/>
      <c r="G25" s="2"/>
    </row>
    <row r="26" customFormat="false" ht="15" hidden="false" customHeight="false" outlineLevel="0" collapsed="false">
      <c r="A26" s="2"/>
      <c r="B26" s="14" t="s">
        <v>1153</v>
      </c>
      <c r="C26" s="47" t="n">
        <f aca="false">C25*C11</f>
        <v>32490</v>
      </c>
      <c r="D26" s="46"/>
      <c r="E26" s="2"/>
      <c r="F26" s="2"/>
      <c r="G26" s="2"/>
    </row>
    <row r="27" customFormat="false" ht="15" hidden="false" customHeight="false" outlineLevel="0" collapsed="false">
      <c r="A27" s="2"/>
      <c r="B27" s="14" t="s">
        <v>1154</v>
      </c>
      <c r="C27" s="47" t="n">
        <f aca="false">C26*C14</f>
        <v>3249</v>
      </c>
      <c r="D27" s="46"/>
      <c r="E27" s="2"/>
      <c r="F27" s="2"/>
      <c r="G27" s="2"/>
    </row>
    <row r="28" customFormat="false" ht="15" hidden="false" customHeight="false" outlineLevel="0" collapsed="false">
      <c r="A28" s="2"/>
      <c r="B28" s="14" t="s">
        <v>1155</v>
      </c>
      <c r="C28" s="47" t="n">
        <f aca="false">C15*C16*C12</f>
        <v>0</v>
      </c>
      <c r="D28" s="46" t="s">
        <v>1156</v>
      </c>
      <c r="E28" s="2"/>
      <c r="F28" s="2"/>
      <c r="G28" s="2"/>
    </row>
    <row r="29" customFormat="false" ht="15" hidden="false" customHeight="false" outlineLevel="0" collapsed="false">
      <c r="A29" s="2"/>
      <c r="B29" s="15" t="s">
        <v>1157</v>
      </c>
      <c r="C29" s="47" t="n">
        <f aca="false">IF(C13="从价",C27,IF(C13="从量",C28,IF(C13="复合-取高者",MAX(C27,C28),C27+C28)))</f>
        <v>3249</v>
      </c>
      <c r="D29" s="46" t="s">
        <v>1158</v>
      </c>
      <c r="E29" s="2"/>
      <c r="F29" s="2"/>
      <c r="G29" s="2"/>
    </row>
    <row r="30" customFormat="false" ht="15" hidden="false" customHeight="false" outlineLevel="0" collapsed="false">
      <c r="A30" s="2"/>
      <c r="B30" s="14" t="s">
        <v>1159</v>
      </c>
      <c r="C30" s="45" t="n">
        <f aca="false">INDEX($G$5:$G$9,MATCH(C17,$F$5:$F$9,0))</f>
        <v>1</v>
      </c>
      <c r="D30" s="46" t="s">
        <v>1160</v>
      </c>
      <c r="E30" s="2"/>
      <c r="F30" s="2"/>
      <c r="G30" s="2"/>
    </row>
    <row r="31" customFormat="false" ht="15" hidden="false" customHeight="false" outlineLevel="0" collapsed="false">
      <c r="A31" s="2"/>
      <c r="B31" s="14" t="s">
        <v>1161</v>
      </c>
      <c r="C31" s="47" t="n">
        <f aca="false">C29*C30</f>
        <v>3249</v>
      </c>
      <c r="D31" s="46"/>
      <c r="E31" s="2"/>
      <c r="F31" s="2"/>
      <c r="G31" s="2"/>
    </row>
    <row r="32" customFormat="false" ht="15" hidden="false" customHeight="false" outlineLevel="0" collapsed="false">
      <c r="A32" s="2"/>
      <c r="B32" s="14" t="s">
        <v>1162</v>
      </c>
      <c r="C32" s="47" t="n">
        <f aca="false">C26*C18</f>
        <v>0</v>
      </c>
      <c r="D32" s="46"/>
      <c r="E32" s="2"/>
      <c r="F32" s="2"/>
      <c r="G32" s="2"/>
    </row>
    <row r="33" customFormat="false" ht="15" hidden="false" customHeight="false" outlineLevel="0" collapsed="false">
      <c r="A33" s="2"/>
      <c r="B33" s="14" t="s">
        <v>1163</v>
      </c>
      <c r="C33" s="47" t="n">
        <f aca="false">C19</f>
        <v>0</v>
      </c>
      <c r="D33" s="46"/>
      <c r="E33" s="2"/>
      <c r="F33" s="2"/>
      <c r="G33" s="2"/>
    </row>
    <row r="34" customFormat="false" ht="15" hidden="false" customHeight="false" outlineLevel="0" collapsed="false">
      <c r="A34" s="2"/>
      <c r="B34" s="14" t="s">
        <v>1164</v>
      </c>
      <c r="C34" s="47" t="n">
        <f aca="false">C26+C31+C32+C33</f>
        <v>35739</v>
      </c>
      <c r="D34" s="46" t="s">
        <v>1165</v>
      </c>
      <c r="E34" s="2"/>
      <c r="F34" s="2"/>
      <c r="G34" s="2"/>
    </row>
    <row r="35" customFormat="false" ht="15" hidden="false" customHeight="false" outlineLevel="0" collapsed="false">
      <c r="A35" s="2"/>
      <c r="B35" s="14" t="s">
        <v>1166</v>
      </c>
      <c r="C35" s="47" t="n">
        <f aca="false">C34*C20</f>
        <v>7147.8</v>
      </c>
      <c r="D35" s="46"/>
      <c r="E35" s="2"/>
      <c r="F35" s="2"/>
      <c r="G35" s="2"/>
    </row>
    <row r="36" customFormat="false" ht="15" hidden="false" customHeight="false" outlineLevel="0" collapsed="false">
      <c r="A36" s="2"/>
      <c r="B36" s="14" t="s">
        <v>1145</v>
      </c>
      <c r="C36" s="47" t="n">
        <f aca="false">C21</f>
        <v>0</v>
      </c>
      <c r="D36" s="46"/>
      <c r="E36" s="2"/>
      <c r="F36" s="2"/>
      <c r="G36" s="2"/>
    </row>
    <row r="37" customFormat="false" ht="15" hidden="false" customHeight="false" outlineLevel="0" collapsed="false">
      <c r="A37" s="2"/>
      <c r="B37" s="14" t="s">
        <v>1167</v>
      </c>
      <c r="C37" s="47" t="n">
        <f aca="false">C22</f>
        <v>0</v>
      </c>
      <c r="D37" s="46"/>
      <c r="E37" s="2"/>
      <c r="F37" s="2"/>
      <c r="G37" s="2"/>
    </row>
    <row r="38" customFormat="false" ht="15" hidden="false" customHeight="false" outlineLevel="0" collapsed="false">
      <c r="A38" s="2"/>
      <c r="B38" s="28" t="s">
        <v>1168</v>
      </c>
      <c r="C38" s="48" t="n">
        <f aca="false">C31+C32+C33+C35+C36+C37</f>
        <v>10396.8</v>
      </c>
      <c r="D38" s="46"/>
      <c r="E38" s="2"/>
      <c r="F38" s="2"/>
      <c r="G38" s="2"/>
    </row>
    <row r="39" customFormat="false" ht="15" hidden="false" customHeight="false" outlineLevel="0" collapsed="false">
      <c r="A39" s="2"/>
      <c r="B39" s="14" t="s">
        <v>1169</v>
      </c>
      <c r="C39" s="47" t="n">
        <f aca="false">IF(C11=0,0,C38/C11)</f>
        <v>3465.6</v>
      </c>
      <c r="D39" s="46"/>
      <c r="E39" s="2"/>
      <c r="F39" s="2"/>
      <c r="G39" s="2"/>
    </row>
    <row r="40" customFormat="false" ht="15" hidden="false" customHeight="false" outlineLevel="0" collapsed="false">
      <c r="A40" s="2"/>
      <c r="B40" s="28" t="s">
        <v>1170</v>
      </c>
      <c r="C40" s="49" t="n">
        <f aca="false">IF(C26=0,0,C38/C26)</f>
        <v>0.32</v>
      </c>
      <c r="D40" s="46" t="s">
        <v>1171</v>
      </c>
      <c r="E40" s="2"/>
      <c r="F40" s="2"/>
      <c r="G40" s="2"/>
    </row>
    <row r="41" customFormat="false" ht="15" hidden="false" customHeight="false" outlineLevel="0" collapsed="false">
      <c r="A41" s="2"/>
      <c r="B41" s="14" t="s">
        <v>1172</v>
      </c>
      <c r="C41" s="47" t="n">
        <f aca="false">C26+C38</f>
        <v>42886.8</v>
      </c>
      <c r="D41" s="46" t="s">
        <v>1173</v>
      </c>
      <c r="E41" s="2"/>
      <c r="F41" s="2"/>
      <c r="G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</row>
    <row r="43" customFormat="false" ht="15" hidden="false" customHeight="false" outlineLevel="0" collapsed="false">
      <c r="A43" s="2"/>
      <c r="B43" s="4" t="s">
        <v>1174</v>
      </c>
      <c r="C43" s="5"/>
      <c r="D43" s="5"/>
      <c r="E43" s="2"/>
      <c r="F43" s="2"/>
      <c r="G43" s="2"/>
    </row>
    <row r="44" customFormat="false" ht="15" hidden="false" customHeight="false" outlineLevel="0" collapsed="false">
      <c r="A44" s="2"/>
      <c r="B44" s="50" t="s">
        <v>1106</v>
      </c>
      <c r="C44" s="50" t="s">
        <v>1175</v>
      </c>
      <c r="D44" s="50" t="s">
        <v>1176</v>
      </c>
      <c r="E44" s="50" t="s">
        <v>1177</v>
      </c>
      <c r="F44" s="2"/>
      <c r="G44" s="2"/>
    </row>
    <row r="45" customFormat="false" ht="15" hidden="false" customHeight="false" outlineLevel="0" collapsed="false">
      <c r="A45" s="2"/>
      <c r="B45" s="41" t="str">
        <f aca="false">F5</f>
        <v>一般税率(MFN)</v>
      </c>
      <c r="C45" s="47" t="n">
        <f aca="false">$C$29*G5</f>
        <v>3249</v>
      </c>
      <c r="D45" s="47" t="n">
        <f aca="false">($C$26+C45+$C$32+$C$33)*$C$20</f>
        <v>7147.8</v>
      </c>
      <c r="E45" s="51" t="n">
        <f aca="false">IF($C$26=0,0,(C45+D45+$C$32+$C$33+$C$36+$C$37)/$C$26)</f>
        <v>0.32</v>
      </c>
      <c r="F45" s="2"/>
      <c r="G45" s="2"/>
    </row>
    <row r="46" customFormat="false" ht="15" hidden="false" customHeight="false" outlineLevel="0" collapsed="false">
      <c r="A46" s="2"/>
      <c r="B46" s="41" t="str">
        <f aca="false">F6</f>
        <v>发展中国家普惠制(75%)</v>
      </c>
      <c r="C46" s="47" t="n">
        <f aca="false">$C$29*G6</f>
        <v>2436.75</v>
      </c>
      <c r="D46" s="47" t="n">
        <f aca="false">($C$26+C46+$C$32+$C$33)*$C$20</f>
        <v>6985.35</v>
      </c>
      <c r="E46" s="51" t="n">
        <f aca="false">IF($C$26=0,0,(C46+D46+$C$32+$C$33+$C$36+$C$37)/$C$26)</f>
        <v>0.29</v>
      </c>
      <c r="F46" s="2"/>
      <c r="G46" s="2"/>
    </row>
    <row r="47" customFormat="false" ht="15" hidden="false" customHeight="false" outlineLevel="0" collapsed="false">
      <c r="A47" s="2"/>
      <c r="B47" s="41" t="str">
        <f aca="false">F7</f>
        <v>最不发达国家(0%)</v>
      </c>
      <c r="C47" s="47" t="n">
        <f aca="false">$C$29*G7</f>
        <v>0</v>
      </c>
      <c r="D47" s="47" t="n">
        <f aca="false">($C$26+C47+$C$32+$C$33)*$C$20</f>
        <v>6498</v>
      </c>
      <c r="E47" s="51" t="n">
        <f aca="false">IF($C$26=0,0,(C47+D47+$C$32+$C$33+$C$36+$C$37)/$C$26)</f>
        <v>0.2</v>
      </c>
      <c r="F47" s="2"/>
      <c r="G47" s="2"/>
    </row>
    <row r="48" customFormat="false" ht="15" hidden="false" customHeight="false" outlineLevel="0" collapsed="false">
      <c r="A48" s="2"/>
      <c r="B48" s="41" t="str">
        <f aca="false">F8</f>
        <v>自贸协定零关税</v>
      </c>
      <c r="C48" s="47" t="n">
        <f aca="false">$C$29*G8</f>
        <v>0</v>
      </c>
      <c r="D48" s="47" t="n">
        <f aca="false">($C$26+C48+$C$32+$C$33)*$C$20</f>
        <v>6498</v>
      </c>
      <c r="E48" s="51" t="n">
        <f aca="false">IF($C$26=0,0,(C48+D48+$C$32+$C$33+$C$36+$C$37)/$C$26)</f>
        <v>0.2</v>
      </c>
      <c r="F48" s="2"/>
      <c r="G48" s="2"/>
    </row>
    <row r="49" customFormat="false" ht="15" hidden="false" customHeight="false" outlineLevel="0" collapsed="false">
      <c r="A49" s="2"/>
      <c r="B49" s="41" t="str">
        <f aca="false">F9</f>
        <v>EAEU成员国原产</v>
      </c>
      <c r="C49" s="47" t="n">
        <f aca="false">$C$29*G9</f>
        <v>0</v>
      </c>
      <c r="D49" s="47" t="n">
        <f aca="false">($C$26+C49+$C$32+$C$33)*$C$20</f>
        <v>6498</v>
      </c>
      <c r="E49" s="51" t="n">
        <f aca="false">IF($C$26=0,0,(C49+D49+$C$32+$C$33+$C$36+$C$37)/$C$26)</f>
        <v>0.2</v>
      </c>
      <c r="F49" s="2"/>
      <c r="G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</row>
    <row r="51" customFormat="false" ht="15" hidden="false" customHeight="true" outlineLevel="0" collapsed="false">
      <c r="A51" s="3" t="s">
        <v>1178</v>
      </c>
      <c r="B51" s="3"/>
      <c r="C51" s="3"/>
      <c r="D51" s="3"/>
      <c r="E51" s="3"/>
      <c r="F51" s="3"/>
      <c r="G51" s="3"/>
    </row>
  </sheetData>
  <mergeCells count="2">
    <mergeCell ref="A2:G2"/>
    <mergeCell ref="A51:G51"/>
  </mergeCells>
  <dataValidations count="3">
    <dataValidation allowBlank="false" errorStyle="stop" operator="between" showDropDown="false" showErrorMessage="false" showInputMessage="false" sqref="C13" type="list">
      <formula1>$F$12:$F$15</formula1>
      <formula2>0</formula2>
    </dataValidation>
    <dataValidation allowBlank="false" errorStyle="stop" operator="between" showDropDown="false" showErrorMessage="false" showInputMessage="false" sqref="C17" type="list">
      <formula1>$F$5:$F$9</formula1>
      <formula2>0</formula2>
    </dataValidation>
    <dataValidation allowBlank="false" errorStyle="stop" operator="between" showDropDown="false" showErrorMessage="false" showInputMessage="false" sqref="C20" type="list">
      <formula1>$F$18:$F$20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62"/>
    <col collapsed="false" customWidth="true" hidden="false" outlineLevel="0" max="4" min="4" style="0" width="30"/>
    <col collapsed="false" customWidth="true" hidden="false" outlineLevel="0" max="5" min="5" style="0" width="70"/>
    <col collapsed="false" customWidth="true" hidden="false" outlineLevel="0" max="6" min="6" style="0" width="26"/>
  </cols>
  <sheetData>
    <row r="1" customFormat="false" ht="19.7" hidden="false" customHeight="false" outlineLevel="0" collapsed="false">
      <c r="A1" s="1" t="s">
        <v>1179</v>
      </c>
      <c r="B1" s="2"/>
      <c r="C1" s="2"/>
      <c r="D1" s="2"/>
      <c r="E1" s="2"/>
      <c r="F1" s="2"/>
    </row>
    <row r="2" customFormat="false" ht="30" hidden="false" customHeight="true" outlineLevel="0" collapsed="false">
      <c r="A2" s="3" t="s">
        <v>1180</v>
      </c>
      <c r="B2" s="3"/>
      <c r="C2" s="3"/>
      <c r="D2" s="3"/>
      <c r="E2" s="3"/>
      <c r="F2" s="3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9" t="s">
        <v>82</v>
      </c>
      <c r="B4" s="9" t="s">
        <v>1181</v>
      </c>
      <c r="C4" s="9" t="s">
        <v>1182</v>
      </c>
      <c r="D4" s="9" t="s">
        <v>1183</v>
      </c>
      <c r="E4" s="8" t="s">
        <v>1184</v>
      </c>
      <c r="F4" s="9" t="s">
        <v>1185</v>
      </c>
    </row>
    <row r="5" customFormat="false" ht="15" hidden="false" customHeight="false" outlineLevel="0" collapsed="false">
      <c r="A5" s="12" t="s">
        <v>1186</v>
      </c>
      <c r="B5" s="11" t="s">
        <v>1187</v>
      </c>
      <c r="C5" s="12" t="s">
        <v>1188</v>
      </c>
      <c r="D5" s="11" t="s">
        <v>1189</v>
      </c>
      <c r="E5" s="26" t="s">
        <v>1190</v>
      </c>
      <c r="F5" s="11" t="s">
        <v>1191</v>
      </c>
    </row>
    <row r="6" customFormat="false" ht="15" hidden="false" customHeight="false" outlineLevel="0" collapsed="false">
      <c r="A6" s="12" t="s">
        <v>1192</v>
      </c>
      <c r="B6" s="11" t="s">
        <v>1187</v>
      </c>
      <c r="C6" s="12" t="s">
        <v>1193</v>
      </c>
      <c r="D6" s="11" t="s">
        <v>1189</v>
      </c>
      <c r="E6" s="26" t="s">
        <v>1194</v>
      </c>
      <c r="F6" s="11" t="s">
        <v>1191</v>
      </c>
    </row>
    <row r="7" customFormat="false" ht="15" hidden="false" customHeight="false" outlineLevel="0" collapsed="false">
      <c r="A7" s="12" t="s">
        <v>1195</v>
      </c>
      <c r="B7" s="11" t="s">
        <v>1187</v>
      </c>
      <c r="C7" s="12" t="s">
        <v>1196</v>
      </c>
      <c r="D7" s="11" t="s">
        <v>1189</v>
      </c>
      <c r="E7" s="26" t="s">
        <v>1197</v>
      </c>
      <c r="F7" s="11" t="s">
        <v>1191</v>
      </c>
    </row>
    <row r="8" customFormat="false" ht="15" hidden="false" customHeight="false" outlineLevel="0" collapsed="false">
      <c r="A8" s="12" t="s">
        <v>1198</v>
      </c>
      <c r="B8" s="11" t="s">
        <v>1187</v>
      </c>
      <c r="C8" s="12" t="s">
        <v>1199</v>
      </c>
      <c r="D8" s="11" t="s">
        <v>1189</v>
      </c>
      <c r="E8" s="26" t="s">
        <v>1200</v>
      </c>
      <c r="F8" s="11" t="s">
        <v>1191</v>
      </c>
    </row>
    <row r="9" customFormat="false" ht="15" hidden="false" customHeight="false" outlineLevel="0" collapsed="false">
      <c r="A9" s="12" t="s">
        <v>507</v>
      </c>
      <c r="B9" s="11" t="s">
        <v>1187</v>
      </c>
      <c r="C9" s="12" t="s">
        <v>1201</v>
      </c>
      <c r="D9" s="11" t="s">
        <v>1189</v>
      </c>
      <c r="E9" s="26" t="s">
        <v>1202</v>
      </c>
      <c r="F9" s="11" t="s">
        <v>1191</v>
      </c>
    </row>
    <row r="10" customFormat="false" ht="15" hidden="false" customHeight="false" outlineLevel="0" collapsed="false">
      <c r="A10" s="12" t="s">
        <v>1203</v>
      </c>
      <c r="B10" s="11" t="s">
        <v>1187</v>
      </c>
      <c r="C10" s="12" t="s">
        <v>1204</v>
      </c>
      <c r="D10" s="11" t="s">
        <v>1189</v>
      </c>
      <c r="E10" s="26" t="s">
        <v>1205</v>
      </c>
      <c r="F10" s="11" t="s">
        <v>1191</v>
      </c>
    </row>
    <row r="11" customFormat="false" ht="15" hidden="false" customHeight="false" outlineLevel="0" collapsed="false">
      <c r="A11" s="12" t="s">
        <v>580</v>
      </c>
      <c r="B11" s="11" t="s">
        <v>1187</v>
      </c>
      <c r="C11" s="12" t="s">
        <v>1206</v>
      </c>
      <c r="D11" s="11" t="s">
        <v>1189</v>
      </c>
      <c r="E11" s="26" t="s">
        <v>1207</v>
      </c>
      <c r="F11" s="11" t="s">
        <v>1191</v>
      </c>
    </row>
    <row r="12" customFormat="false" ht="15" hidden="false" customHeight="false" outlineLevel="0" collapsed="false">
      <c r="A12" s="12" t="s">
        <v>1208</v>
      </c>
      <c r="B12" s="11" t="s">
        <v>1187</v>
      </c>
      <c r="C12" s="12" t="s">
        <v>1209</v>
      </c>
      <c r="D12" s="11" t="s">
        <v>1189</v>
      </c>
      <c r="E12" s="26" t="s">
        <v>1210</v>
      </c>
      <c r="F12" s="11" t="s">
        <v>1191</v>
      </c>
    </row>
    <row r="13" customFormat="false" ht="15" hidden="false" customHeight="false" outlineLevel="0" collapsed="false">
      <c r="A13" s="12" t="s">
        <v>1211</v>
      </c>
      <c r="B13" s="11" t="s">
        <v>1187</v>
      </c>
      <c r="C13" s="12" t="s">
        <v>1212</v>
      </c>
      <c r="D13" s="11" t="s">
        <v>1189</v>
      </c>
      <c r="E13" s="26" t="s">
        <v>1213</v>
      </c>
      <c r="F13" s="11" t="s">
        <v>1191</v>
      </c>
    </row>
    <row r="14" customFormat="false" ht="15" hidden="false" customHeight="false" outlineLevel="0" collapsed="false">
      <c r="A14" s="12" t="s">
        <v>1214</v>
      </c>
      <c r="B14" s="11" t="s">
        <v>1215</v>
      </c>
      <c r="C14" s="12" t="s">
        <v>1188</v>
      </c>
      <c r="D14" s="11" t="s">
        <v>1189</v>
      </c>
      <c r="E14" s="26" t="s">
        <v>1216</v>
      </c>
      <c r="F14" s="11" t="s">
        <v>1191</v>
      </c>
    </row>
    <row r="15" customFormat="false" ht="15" hidden="false" customHeight="false" outlineLevel="0" collapsed="false">
      <c r="A15" s="12" t="s">
        <v>1217</v>
      </c>
      <c r="B15" s="11" t="s">
        <v>1215</v>
      </c>
      <c r="C15" s="12" t="s">
        <v>1218</v>
      </c>
      <c r="D15" s="11" t="s">
        <v>1189</v>
      </c>
      <c r="E15" s="26" t="s">
        <v>1219</v>
      </c>
      <c r="F15" s="11" t="s">
        <v>1191</v>
      </c>
    </row>
    <row r="16" customFormat="false" ht="15" hidden="false" customHeight="false" outlineLevel="0" collapsed="false">
      <c r="A16" s="12" t="s">
        <v>1220</v>
      </c>
      <c r="B16" s="11" t="s">
        <v>1215</v>
      </c>
      <c r="C16" s="12" t="s">
        <v>1204</v>
      </c>
      <c r="D16" s="11" t="s">
        <v>1189</v>
      </c>
      <c r="E16" s="26" t="s">
        <v>1221</v>
      </c>
      <c r="F16" s="11" t="s">
        <v>1191</v>
      </c>
    </row>
    <row r="17" customFormat="false" ht="15" hidden="false" customHeight="false" outlineLevel="0" collapsed="false">
      <c r="A17" s="12" t="s">
        <v>1222</v>
      </c>
      <c r="B17" s="11" t="s">
        <v>1215</v>
      </c>
      <c r="C17" s="12" t="s">
        <v>1223</v>
      </c>
      <c r="D17" s="11" t="s">
        <v>1189</v>
      </c>
      <c r="E17" s="26" t="s">
        <v>1224</v>
      </c>
      <c r="F17" s="11" t="s">
        <v>1191</v>
      </c>
    </row>
    <row r="18" customFormat="false" ht="15" hidden="false" customHeight="false" outlineLevel="0" collapsed="false">
      <c r="A18" s="12" t="s">
        <v>1225</v>
      </c>
      <c r="B18" s="11" t="s">
        <v>1215</v>
      </c>
      <c r="C18" s="11" t="s">
        <v>1226</v>
      </c>
      <c r="D18" s="11" t="s">
        <v>1189</v>
      </c>
      <c r="E18" s="26" t="s">
        <v>1227</v>
      </c>
      <c r="F18" s="11" t="s">
        <v>1191</v>
      </c>
    </row>
    <row r="19" customFormat="false" ht="15" hidden="false" customHeight="false" outlineLevel="0" collapsed="false">
      <c r="A19" s="12" t="s">
        <v>899</v>
      </c>
      <c r="B19" s="11" t="s">
        <v>1215</v>
      </c>
      <c r="C19" s="12" t="s">
        <v>1228</v>
      </c>
      <c r="D19" s="11" t="s">
        <v>1189</v>
      </c>
      <c r="E19" s="26" t="s">
        <v>1229</v>
      </c>
      <c r="F19" s="11" t="s">
        <v>1191</v>
      </c>
    </row>
    <row r="20" customFormat="false" ht="15" hidden="false" customHeight="false" outlineLevel="0" collapsed="false">
      <c r="A20" s="12" t="s">
        <v>1230</v>
      </c>
      <c r="B20" s="11" t="s">
        <v>1215</v>
      </c>
      <c r="C20" s="12" t="s">
        <v>1231</v>
      </c>
      <c r="D20" s="11" t="s">
        <v>1189</v>
      </c>
      <c r="E20" s="26" t="s">
        <v>1232</v>
      </c>
      <c r="F20" s="11" t="s">
        <v>1191</v>
      </c>
    </row>
    <row r="21" customFormat="false" ht="15" hidden="false" customHeight="false" outlineLevel="0" collapsed="false">
      <c r="A21" s="12" t="s">
        <v>1233</v>
      </c>
      <c r="B21" s="11" t="s">
        <v>1215</v>
      </c>
      <c r="C21" s="12" t="s">
        <v>1234</v>
      </c>
      <c r="D21" s="11" t="s">
        <v>1189</v>
      </c>
      <c r="E21" s="26" t="s">
        <v>1235</v>
      </c>
      <c r="F21" s="11" t="s">
        <v>1191</v>
      </c>
    </row>
    <row r="22" customFormat="false" ht="15" hidden="false" customHeight="false" outlineLevel="0" collapsed="false">
      <c r="A22" s="12" t="s">
        <v>1236</v>
      </c>
      <c r="B22" s="11" t="s">
        <v>1215</v>
      </c>
      <c r="C22" s="12" t="s">
        <v>1237</v>
      </c>
      <c r="D22" s="11" t="s">
        <v>1189</v>
      </c>
      <c r="E22" s="26" t="s">
        <v>1238</v>
      </c>
      <c r="F22" s="11" t="s">
        <v>1191</v>
      </c>
    </row>
    <row r="23" customFormat="false" ht="15" hidden="false" customHeight="false" outlineLevel="0" collapsed="false">
      <c r="A23" s="12" t="s">
        <v>1239</v>
      </c>
      <c r="B23" s="11" t="s">
        <v>1215</v>
      </c>
      <c r="C23" s="12" t="s">
        <v>1240</v>
      </c>
      <c r="D23" s="11" t="s">
        <v>1189</v>
      </c>
      <c r="E23" s="26" t="s">
        <v>1241</v>
      </c>
      <c r="F23" s="11" t="s">
        <v>1191</v>
      </c>
    </row>
    <row r="24" customFormat="false" ht="15" hidden="false" customHeight="false" outlineLevel="0" collapsed="false">
      <c r="A24" s="12" t="s">
        <v>896</v>
      </c>
      <c r="B24" s="11" t="s">
        <v>1215</v>
      </c>
      <c r="C24" s="12" t="s">
        <v>1242</v>
      </c>
      <c r="D24" s="11" t="s">
        <v>1189</v>
      </c>
      <c r="E24" s="26" t="s">
        <v>1243</v>
      </c>
      <c r="F24" s="11" t="s">
        <v>1191</v>
      </c>
    </row>
    <row r="25" customFormat="false" ht="15" hidden="false" customHeight="false" outlineLevel="0" collapsed="false">
      <c r="A25" s="12" t="s">
        <v>1244</v>
      </c>
      <c r="B25" s="11" t="s">
        <v>1215</v>
      </c>
      <c r="C25" s="12" t="s">
        <v>1245</v>
      </c>
      <c r="D25" s="11" t="s">
        <v>1189</v>
      </c>
      <c r="E25" s="26" t="s">
        <v>371</v>
      </c>
      <c r="F25" s="11" t="s">
        <v>1191</v>
      </c>
    </row>
    <row r="26" customFormat="false" ht="15" hidden="false" customHeight="false" outlineLevel="0" collapsed="false">
      <c r="A26" s="12" t="s">
        <v>1246</v>
      </c>
      <c r="B26" s="11" t="s">
        <v>1247</v>
      </c>
      <c r="C26" s="12" t="s">
        <v>1248</v>
      </c>
      <c r="D26" s="11" t="s">
        <v>1189</v>
      </c>
      <c r="E26" s="26" t="s">
        <v>1249</v>
      </c>
      <c r="F26" s="11" t="s">
        <v>1191</v>
      </c>
    </row>
    <row r="27" customFormat="false" ht="26.85" hidden="false" customHeight="false" outlineLevel="0" collapsed="false">
      <c r="A27" s="12" t="s">
        <v>1250</v>
      </c>
      <c r="B27" s="11" t="s">
        <v>1251</v>
      </c>
      <c r="C27" s="12" t="s">
        <v>1252</v>
      </c>
      <c r="D27" s="11" t="s">
        <v>1189</v>
      </c>
      <c r="E27" s="26" t="s">
        <v>1253</v>
      </c>
      <c r="F27" s="11" t="s">
        <v>1191</v>
      </c>
    </row>
    <row r="28" customFormat="false" ht="15" hidden="false" customHeight="false" outlineLevel="0" collapsed="false">
      <c r="A28" s="12" t="s">
        <v>1254</v>
      </c>
      <c r="B28" s="11" t="s">
        <v>1251</v>
      </c>
      <c r="C28" s="12" t="s">
        <v>1255</v>
      </c>
      <c r="D28" s="11" t="s">
        <v>1189</v>
      </c>
      <c r="E28" s="26" t="s">
        <v>1256</v>
      </c>
      <c r="F28" s="11" t="s">
        <v>1191</v>
      </c>
    </row>
    <row r="29" customFormat="false" ht="15" hidden="false" customHeight="false" outlineLevel="0" collapsed="false">
      <c r="A29" s="12" t="s">
        <v>1257</v>
      </c>
      <c r="B29" s="11" t="s">
        <v>1251</v>
      </c>
      <c r="C29" s="12" t="s">
        <v>1258</v>
      </c>
      <c r="D29" s="11" t="s">
        <v>1189</v>
      </c>
      <c r="E29" s="26" t="s">
        <v>1259</v>
      </c>
      <c r="F29" s="11" t="s">
        <v>1191</v>
      </c>
    </row>
    <row r="30" customFormat="false" ht="15" hidden="false" customHeight="false" outlineLevel="0" collapsed="false">
      <c r="A30" s="12" t="s">
        <v>1260</v>
      </c>
      <c r="B30" s="11" t="s">
        <v>1261</v>
      </c>
      <c r="C30" s="12" t="s">
        <v>1262</v>
      </c>
      <c r="D30" s="11" t="s">
        <v>1189</v>
      </c>
      <c r="E30" s="26" t="s">
        <v>1263</v>
      </c>
      <c r="F30" s="11" t="s">
        <v>1191</v>
      </c>
    </row>
    <row r="31" customFormat="false" ht="15" hidden="false" customHeight="false" outlineLevel="0" collapsed="false">
      <c r="A31" s="12" t="s">
        <v>1264</v>
      </c>
      <c r="B31" s="11" t="s">
        <v>1261</v>
      </c>
      <c r="C31" s="12" t="s">
        <v>1265</v>
      </c>
      <c r="D31" s="11" t="s">
        <v>1189</v>
      </c>
      <c r="E31" s="26" t="s">
        <v>1266</v>
      </c>
      <c r="F31" s="11" t="s">
        <v>1191</v>
      </c>
    </row>
    <row r="32" customFormat="false" ht="15" hidden="false" customHeight="false" outlineLevel="0" collapsed="false">
      <c r="A32" s="12" t="s">
        <v>1267</v>
      </c>
      <c r="B32" s="11" t="s">
        <v>1268</v>
      </c>
      <c r="C32" s="12" t="s">
        <v>1269</v>
      </c>
      <c r="D32" s="11" t="s">
        <v>1189</v>
      </c>
      <c r="E32" s="26" t="s">
        <v>1270</v>
      </c>
      <c r="F32" s="11" t="s">
        <v>1191</v>
      </c>
    </row>
    <row r="33" customFormat="false" ht="15" hidden="false" customHeight="false" outlineLevel="0" collapsed="false">
      <c r="A33" s="12" t="s">
        <v>941</v>
      </c>
      <c r="B33" s="11" t="s">
        <v>1271</v>
      </c>
      <c r="C33" s="12" t="s">
        <v>1272</v>
      </c>
      <c r="D33" s="11" t="s">
        <v>1273</v>
      </c>
      <c r="E33" s="26" t="s">
        <v>1274</v>
      </c>
      <c r="F33" s="11" t="s">
        <v>1191</v>
      </c>
    </row>
    <row r="34" customFormat="false" ht="15" hidden="false" customHeight="false" outlineLevel="0" collapsed="false">
      <c r="A34" s="12" t="s">
        <v>984</v>
      </c>
      <c r="B34" s="11" t="s">
        <v>1271</v>
      </c>
      <c r="C34" s="12" t="s">
        <v>1275</v>
      </c>
      <c r="D34" s="11" t="s">
        <v>1273</v>
      </c>
      <c r="E34" s="26" t="s">
        <v>1276</v>
      </c>
      <c r="F34" s="11" t="s">
        <v>1191</v>
      </c>
    </row>
    <row r="35" customFormat="false" ht="15" hidden="false" customHeight="false" outlineLevel="0" collapsed="false">
      <c r="A35" s="12" t="s">
        <v>1277</v>
      </c>
      <c r="B35" s="11" t="s">
        <v>1271</v>
      </c>
      <c r="C35" s="12" t="s">
        <v>1278</v>
      </c>
      <c r="D35" s="11" t="s">
        <v>1273</v>
      </c>
      <c r="E35" s="26" t="s">
        <v>1279</v>
      </c>
      <c r="F35" s="11" t="s">
        <v>1191</v>
      </c>
    </row>
    <row r="36" customFormat="false" ht="15" hidden="false" customHeight="false" outlineLevel="0" collapsed="false">
      <c r="A36" s="12" t="s">
        <v>1280</v>
      </c>
      <c r="B36" s="11" t="s">
        <v>1271</v>
      </c>
      <c r="C36" s="12" t="s">
        <v>1281</v>
      </c>
      <c r="D36" s="11" t="s">
        <v>1273</v>
      </c>
      <c r="E36" s="26" t="s">
        <v>1282</v>
      </c>
      <c r="F36" s="11" t="s">
        <v>1191</v>
      </c>
    </row>
    <row r="37" customFormat="false" ht="15" hidden="false" customHeight="false" outlineLevel="0" collapsed="false">
      <c r="A37" s="12" t="s">
        <v>519</v>
      </c>
      <c r="B37" s="11" t="s">
        <v>1271</v>
      </c>
      <c r="C37" s="12" t="s">
        <v>1283</v>
      </c>
      <c r="D37" s="11" t="s">
        <v>1273</v>
      </c>
      <c r="E37" s="26" t="s">
        <v>1284</v>
      </c>
      <c r="F37" s="11" t="s">
        <v>1191</v>
      </c>
    </row>
    <row r="38" customFormat="false" ht="26.85" hidden="false" customHeight="false" outlineLevel="0" collapsed="false">
      <c r="A38" s="12" t="s">
        <v>525</v>
      </c>
      <c r="B38" s="11" t="s">
        <v>1271</v>
      </c>
      <c r="C38" s="12" t="s">
        <v>1285</v>
      </c>
      <c r="D38" s="11" t="s">
        <v>1273</v>
      </c>
      <c r="E38" s="26" t="s">
        <v>1286</v>
      </c>
      <c r="F38" s="11" t="s">
        <v>1191</v>
      </c>
    </row>
    <row r="39" customFormat="false" ht="15" hidden="false" customHeight="false" outlineLevel="0" collapsed="false">
      <c r="A39" s="12" t="s">
        <v>531</v>
      </c>
      <c r="B39" s="11" t="s">
        <v>1271</v>
      </c>
      <c r="C39" s="12" t="s">
        <v>1287</v>
      </c>
      <c r="D39" s="11" t="s">
        <v>1273</v>
      </c>
      <c r="E39" s="26" t="s">
        <v>1288</v>
      </c>
      <c r="F39" s="11" t="s">
        <v>1191</v>
      </c>
    </row>
    <row r="40" customFormat="false" ht="15" hidden="false" customHeight="false" outlineLevel="0" collapsed="false">
      <c r="A40" s="12" t="s">
        <v>848</v>
      </c>
      <c r="B40" s="11" t="s">
        <v>1271</v>
      </c>
      <c r="C40" s="12" t="s">
        <v>1289</v>
      </c>
      <c r="D40" s="11" t="s">
        <v>1273</v>
      </c>
      <c r="E40" s="26" t="s">
        <v>1290</v>
      </c>
      <c r="F40" s="11" t="s">
        <v>1191</v>
      </c>
    </row>
    <row r="41" customFormat="false" ht="15" hidden="false" customHeight="false" outlineLevel="0" collapsed="false">
      <c r="A41" s="12" t="s">
        <v>1291</v>
      </c>
      <c r="B41" s="11" t="s">
        <v>1271</v>
      </c>
      <c r="C41" s="12" t="s">
        <v>1292</v>
      </c>
      <c r="D41" s="11" t="s">
        <v>1273</v>
      </c>
      <c r="E41" s="26" t="s">
        <v>1293</v>
      </c>
      <c r="F41" s="11" t="s">
        <v>1191</v>
      </c>
    </row>
    <row r="42" customFormat="false" ht="23.85" hidden="false" customHeight="false" outlineLevel="0" collapsed="false">
      <c r="A42" s="12" t="s">
        <v>1097</v>
      </c>
      <c r="B42" s="11" t="s">
        <v>1271</v>
      </c>
      <c r="C42" s="12" t="s">
        <v>1294</v>
      </c>
      <c r="D42" s="11" t="s">
        <v>1273</v>
      </c>
      <c r="E42" s="26" t="s">
        <v>1295</v>
      </c>
      <c r="F42" s="11" t="s">
        <v>1191</v>
      </c>
    </row>
    <row r="43" customFormat="false" ht="15" hidden="false" customHeight="false" outlineLevel="0" collapsed="false">
      <c r="A43" s="12" t="s">
        <v>787</v>
      </c>
      <c r="B43" s="11" t="s">
        <v>1271</v>
      </c>
      <c r="C43" s="12" t="s">
        <v>1296</v>
      </c>
      <c r="D43" s="11" t="s">
        <v>1273</v>
      </c>
      <c r="E43" s="26" t="s">
        <v>1297</v>
      </c>
      <c r="F43" s="11" t="s">
        <v>1191</v>
      </c>
    </row>
    <row r="44" customFormat="false" ht="15" hidden="false" customHeight="false" outlineLevel="0" collapsed="false">
      <c r="A44" s="12" t="s">
        <v>868</v>
      </c>
      <c r="B44" s="11" t="s">
        <v>1271</v>
      </c>
      <c r="C44" s="12" t="s">
        <v>1298</v>
      </c>
      <c r="D44" s="11" t="s">
        <v>1273</v>
      </c>
      <c r="E44" s="26" t="s">
        <v>365</v>
      </c>
      <c r="F44" s="11" t="s">
        <v>1191</v>
      </c>
    </row>
    <row r="45" customFormat="false" ht="15" hidden="false" customHeight="false" outlineLevel="0" collapsed="false">
      <c r="A45" s="12" t="s">
        <v>1299</v>
      </c>
      <c r="B45" s="11" t="s">
        <v>1271</v>
      </c>
      <c r="C45" s="12" t="s">
        <v>1300</v>
      </c>
      <c r="D45" s="11" t="s">
        <v>1273</v>
      </c>
      <c r="E45" s="26" t="s">
        <v>377</v>
      </c>
      <c r="F45" s="11" t="s">
        <v>1191</v>
      </c>
    </row>
    <row r="46" customFormat="false" ht="15" hidden="false" customHeight="false" outlineLevel="0" collapsed="false">
      <c r="A46" s="12" t="s">
        <v>1301</v>
      </c>
      <c r="B46" s="11" t="s">
        <v>1271</v>
      </c>
      <c r="C46" s="12" t="s">
        <v>1302</v>
      </c>
      <c r="D46" s="11" t="s">
        <v>1273</v>
      </c>
      <c r="E46" s="26" t="s">
        <v>1303</v>
      </c>
      <c r="F46" s="11" t="s">
        <v>1191</v>
      </c>
    </row>
    <row r="47" customFormat="false" ht="15" hidden="false" customHeight="false" outlineLevel="0" collapsed="false">
      <c r="A47" s="12" t="s">
        <v>892</v>
      </c>
      <c r="B47" s="11" t="s">
        <v>1271</v>
      </c>
      <c r="C47" s="12" t="s">
        <v>1304</v>
      </c>
      <c r="D47" s="11" t="s">
        <v>1273</v>
      </c>
      <c r="E47" s="26" t="s">
        <v>1305</v>
      </c>
      <c r="F47" s="11" t="s">
        <v>1191</v>
      </c>
    </row>
    <row r="48" customFormat="false" ht="15" hidden="false" customHeight="false" outlineLevel="0" collapsed="false">
      <c r="A48" s="12" t="s">
        <v>1053</v>
      </c>
      <c r="B48" s="11" t="s">
        <v>1271</v>
      </c>
      <c r="C48" s="12" t="s">
        <v>1306</v>
      </c>
      <c r="D48" s="11" t="s">
        <v>1273</v>
      </c>
      <c r="E48" s="26" t="s">
        <v>1307</v>
      </c>
      <c r="F48" s="11" t="s">
        <v>1191</v>
      </c>
    </row>
    <row r="49" customFormat="false" ht="15" hidden="false" customHeight="false" outlineLevel="0" collapsed="false">
      <c r="A49" s="12" t="s">
        <v>1308</v>
      </c>
      <c r="B49" s="11" t="s">
        <v>1271</v>
      </c>
      <c r="C49" s="12" t="s">
        <v>1309</v>
      </c>
      <c r="D49" s="11" t="s">
        <v>1273</v>
      </c>
      <c r="E49" s="26" t="s">
        <v>1310</v>
      </c>
      <c r="F49" s="11" t="s">
        <v>1191</v>
      </c>
    </row>
    <row r="50" customFormat="false" ht="15" hidden="false" customHeight="false" outlineLevel="0" collapsed="false">
      <c r="A50" s="12" t="s">
        <v>475</v>
      </c>
      <c r="B50" s="11" t="s">
        <v>1271</v>
      </c>
      <c r="C50" s="12" t="s">
        <v>1311</v>
      </c>
      <c r="D50" s="11" t="s">
        <v>1273</v>
      </c>
      <c r="E50" s="26" t="s">
        <v>477</v>
      </c>
      <c r="F50" s="11" t="s">
        <v>1191</v>
      </c>
    </row>
    <row r="51" customFormat="false" ht="26.85" hidden="false" customHeight="false" outlineLevel="0" collapsed="false">
      <c r="A51" s="12" t="s">
        <v>709</v>
      </c>
      <c r="B51" s="11" t="s">
        <v>1271</v>
      </c>
      <c r="C51" s="12" t="s">
        <v>1312</v>
      </c>
      <c r="D51" s="11" t="s">
        <v>1273</v>
      </c>
      <c r="E51" s="26" t="s">
        <v>1313</v>
      </c>
      <c r="F51" s="11" t="s">
        <v>1191</v>
      </c>
    </row>
    <row r="52" customFormat="false" ht="25.35" hidden="false" customHeight="false" outlineLevel="0" collapsed="false">
      <c r="A52" s="12" t="s">
        <v>703</v>
      </c>
      <c r="B52" s="11" t="s">
        <v>1271</v>
      </c>
      <c r="C52" s="12" t="s">
        <v>1314</v>
      </c>
      <c r="D52" s="11" t="s">
        <v>1273</v>
      </c>
      <c r="E52" s="26" t="s">
        <v>1315</v>
      </c>
      <c r="F52" s="11" t="s">
        <v>1191</v>
      </c>
    </row>
    <row r="53" customFormat="false" ht="25.35" hidden="false" customHeight="false" outlineLevel="0" collapsed="false">
      <c r="A53" s="12" t="s">
        <v>1065</v>
      </c>
      <c r="B53" s="11" t="s">
        <v>1271</v>
      </c>
      <c r="C53" s="12" t="s">
        <v>1316</v>
      </c>
      <c r="D53" s="11" t="s">
        <v>1273</v>
      </c>
      <c r="E53" s="26" t="s">
        <v>1317</v>
      </c>
      <c r="F53" s="11" t="s">
        <v>1191</v>
      </c>
    </row>
    <row r="54" customFormat="false" ht="15" hidden="false" customHeight="false" outlineLevel="0" collapsed="false">
      <c r="A54" s="12" t="s">
        <v>1318</v>
      </c>
      <c r="B54" s="11" t="s">
        <v>1271</v>
      </c>
      <c r="C54" s="12" t="s">
        <v>1319</v>
      </c>
      <c r="D54" s="11" t="s">
        <v>1273</v>
      </c>
      <c r="E54" s="26" t="s">
        <v>1320</v>
      </c>
      <c r="F54" s="11" t="s">
        <v>1191</v>
      </c>
    </row>
    <row r="55" customFormat="false" ht="23.85" hidden="false" customHeight="false" outlineLevel="0" collapsed="false">
      <c r="A55" s="12" t="s">
        <v>766</v>
      </c>
      <c r="B55" s="11" t="s">
        <v>1271</v>
      </c>
      <c r="C55" s="12" t="s">
        <v>1321</v>
      </c>
      <c r="D55" s="11" t="s">
        <v>1273</v>
      </c>
      <c r="E55" s="26" t="s">
        <v>1322</v>
      </c>
      <c r="F55" s="11" t="s">
        <v>1191</v>
      </c>
    </row>
    <row r="56" customFormat="false" ht="15" hidden="false" customHeight="false" outlineLevel="0" collapsed="false">
      <c r="A56" s="12" t="s">
        <v>752</v>
      </c>
      <c r="B56" s="11" t="s">
        <v>1271</v>
      </c>
      <c r="C56" s="12" t="s">
        <v>1323</v>
      </c>
      <c r="D56" s="11" t="s">
        <v>1273</v>
      </c>
      <c r="E56" s="26" t="s">
        <v>1324</v>
      </c>
      <c r="F56" s="11" t="s">
        <v>1191</v>
      </c>
    </row>
    <row r="57" customFormat="false" ht="25.35" hidden="false" customHeight="false" outlineLevel="0" collapsed="false">
      <c r="A57" s="12" t="s">
        <v>1088</v>
      </c>
      <c r="B57" s="11" t="s">
        <v>1271</v>
      </c>
      <c r="C57" s="12" t="s">
        <v>1325</v>
      </c>
      <c r="D57" s="11" t="s">
        <v>1273</v>
      </c>
      <c r="E57" s="26" t="s">
        <v>1326</v>
      </c>
      <c r="F57" s="11" t="s">
        <v>1191</v>
      </c>
    </row>
    <row r="58" customFormat="false" ht="15" hidden="false" customHeight="false" outlineLevel="0" collapsed="false">
      <c r="A58" s="12" t="s">
        <v>1327</v>
      </c>
      <c r="B58" s="11" t="s">
        <v>1271</v>
      </c>
      <c r="C58" s="12" t="s">
        <v>1328</v>
      </c>
      <c r="D58" s="11" t="s">
        <v>1273</v>
      </c>
      <c r="E58" s="26" t="s">
        <v>1329</v>
      </c>
      <c r="F58" s="11" t="s">
        <v>1191</v>
      </c>
    </row>
    <row r="59" customFormat="false" ht="25.35" hidden="false" customHeight="false" outlineLevel="0" collapsed="false">
      <c r="A59" s="12" t="s">
        <v>733</v>
      </c>
      <c r="B59" s="11" t="s">
        <v>1271</v>
      </c>
      <c r="C59" s="12" t="s">
        <v>1330</v>
      </c>
      <c r="D59" s="11" t="s">
        <v>1273</v>
      </c>
      <c r="E59" s="26" t="s">
        <v>1331</v>
      </c>
      <c r="F59" s="11" t="s">
        <v>1191</v>
      </c>
    </row>
    <row r="60" customFormat="false" ht="15" hidden="false" customHeight="false" outlineLevel="0" collapsed="false">
      <c r="A60" s="12" t="s">
        <v>773</v>
      </c>
      <c r="B60" s="11" t="s">
        <v>1271</v>
      </c>
      <c r="C60" s="12" t="s">
        <v>1332</v>
      </c>
      <c r="D60" s="11" t="s">
        <v>1273</v>
      </c>
      <c r="E60" s="26" t="s">
        <v>1333</v>
      </c>
      <c r="F60" s="11" t="s">
        <v>1191</v>
      </c>
    </row>
    <row r="61" customFormat="false" ht="15" hidden="false" customHeight="false" outlineLevel="0" collapsed="false">
      <c r="A61" s="12" t="s">
        <v>780</v>
      </c>
      <c r="B61" s="11" t="s">
        <v>1271</v>
      </c>
      <c r="C61" s="12" t="s">
        <v>1334</v>
      </c>
      <c r="D61" s="11" t="s">
        <v>1273</v>
      </c>
      <c r="E61" s="26" t="s">
        <v>1335</v>
      </c>
      <c r="F61" s="11" t="s">
        <v>1191</v>
      </c>
    </row>
    <row r="62" customFormat="false" ht="15" hidden="false" customHeight="false" outlineLevel="0" collapsed="false">
      <c r="A62" s="12" t="s">
        <v>793</v>
      </c>
      <c r="B62" s="11" t="s">
        <v>1271</v>
      </c>
      <c r="C62" s="12" t="s">
        <v>1336</v>
      </c>
      <c r="D62" s="11" t="s">
        <v>1273</v>
      </c>
      <c r="E62" s="26" t="s">
        <v>1337</v>
      </c>
      <c r="F62" s="11" t="s">
        <v>1191</v>
      </c>
    </row>
    <row r="63" customFormat="false" ht="15" hidden="false" customHeight="false" outlineLevel="0" collapsed="false">
      <c r="A63" s="12" t="s">
        <v>1338</v>
      </c>
      <c r="B63" s="11" t="s">
        <v>1271</v>
      </c>
      <c r="C63" s="12" t="s">
        <v>1339</v>
      </c>
      <c r="D63" s="11" t="s">
        <v>1273</v>
      </c>
      <c r="E63" s="26" t="s">
        <v>1340</v>
      </c>
      <c r="F63" s="11" t="s">
        <v>1191</v>
      </c>
    </row>
    <row r="64" customFormat="false" ht="23.85" hidden="false" customHeight="false" outlineLevel="0" collapsed="false">
      <c r="A64" s="12" t="s">
        <v>961</v>
      </c>
      <c r="B64" s="11" t="s">
        <v>1271</v>
      </c>
      <c r="C64" s="12" t="s">
        <v>1341</v>
      </c>
      <c r="D64" s="11" t="s">
        <v>1273</v>
      </c>
      <c r="E64" s="26" t="s">
        <v>1342</v>
      </c>
      <c r="F64" s="11" t="s">
        <v>1191</v>
      </c>
    </row>
    <row r="65" customFormat="false" ht="15" hidden="false" customHeight="false" outlineLevel="0" collapsed="false">
      <c r="A65" s="12" t="s">
        <v>667</v>
      </c>
      <c r="B65" s="11" t="s">
        <v>1271</v>
      </c>
      <c r="C65" s="12" t="s">
        <v>1343</v>
      </c>
      <c r="D65" s="11" t="s">
        <v>1273</v>
      </c>
      <c r="E65" s="26" t="s">
        <v>1344</v>
      </c>
      <c r="F65" s="11" t="s">
        <v>1191</v>
      </c>
    </row>
    <row r="66" customFormat="false" ht="15" hidden="false" customHeight="false" outlineLevel="0" collapsed="false">
      <c r="A66" s="12" t="s">
        <v>1045</v>
      </c>
      <c r="B66" s="11" t="s">
        <v>1271</v>
      </c>
      <c r="C66" s="12" t="s">
        <v>1345</v>
      </c>
      <c r="D66" s="11" t="s">
        <v>1273</v>
      </c>
      <c r="E66" s="26" t="s">
        <v>1346</v>
      </c>
      <c r="F66" s="11" t="s">
        <v>1191</v>
      </c>
    </row>
    <row r="67" customFormat="false" ht="15" hidden="false" customHeight="false" outlineLevel="0" collapsed="false">
      <c r="A67" s="12" t="s">
        <v>1347</v>
      </c>
      <c r="B67" s="11" t="s">
        <v>1271</v>
      </c>
      <c r="C67" s="12" t="s">
        <v>1348</v>
      </c>
      <c r="D67" s="11" t="s">
        <v>1273</v>
      </c>
      <c r="E67" s="26" t="s">
        <v>1349</v>
      </c>
      <c r="F67" s="11" t="s">
        <v>1191</v>
      </c>
    </row>
    <row r="68" customFormat="false" ht="15" hidden="false" customHeight="false" outlineLevel="0" collapsed="false">
      <c r="A68" s="12" t="s">
        <v>684</v>
      </c>
      <c r="B68" s="11" t="s">
        <v>1271</v>
      </c>
      <c r="C68" s="12" t="s">
        <v>1350</v>
      </c>
      <c r="D68" s="11" t="s">
        <v>1273</v>
      </c>
      <c r="E68" s="26" t="s">
        <v>1351</v>
      </c>
      <c r="F68" s="11" t="s">
        <v>1191</v>
      </c>
    </row>
    <row r="69" customFormat="false" ht="23.85" hidden="false" customHeight="false" outlineLevel="0" collapsed="false">
      <c r="A69" s="12" t="s">
        <v>981</v>
      </c>
      <c r="B69" s="11" t="s">
        <v>1271</v>
      </c>
      <c r="C69" s="12" t="s">
        <v>1352</v>
      </c>
      <c r="D69" s="11" t="s">
        <v>1273</v>
      </c>
      <c r="E69" s="26" t="s">
        <v>1353</v>
      </c>
      <c r="F69" s="11" t="s">
        <v>1191</v>
      </c>
    </row>
    <row r="70" customFormat="false" ht="15" hidden="false" customHeight="false" outlineLevel="0" collapsed="false">
      <c r="A70" s="12" t="s">
        <v>1008</v>
      </c>
      <c r="B70" s="11" t="s">
        <v>1271</v>
      </c>
      <c r="C70" s="12" t="s">
        <v>1354</v>
      </c>
      <c r="D70" s="11" t="s">
        <v>1273</v>
      </c>
      <c r="E70" s="26" t="s">
        <v>1355</v>
      </c>
      <c r="F70" s="11" t="s">
        <v>1191</v>
      </c>
    </row>
    <row r="71" customFormat="false" ht="15" hidden="false" customHeight="false" outlineLevel="0" collapsed="false">
      <c r="A71" s="12" t="s">
        <v>481</v>
      </c>
      <c r="B71" s="11" t="s">
        <v>1271</v>
      </c>
      <c r="C71" s="12" t="s">
        <v>1356</v>
      </c>
      <c r="D71" s="11" t="s">
        <v>1273</v>
      </c>
      <c r="E71" s="26" t="s">
        <v>1357</v>
      </c>
      <c r="F71" s="11" t="s">
        <v>1191</v>
      </c>
    </row>
    <row r="72" customFormat="false" ht="15" hidden="false" customHeight="false" outlineLevel="0" collapsed="false">
      <c r="A72" s="12" t="s">
        <v>1037</v>
      </c>
      <c r="B72" s="11" t="s">
        <v>1271</v>
      </c>
      <c r="C72" s="12" t="s">
        <v>1358</v>
      </c>
      <c r="D72" s="11" t="s">
        <v>1273</v>
      </c>
      <c r="E72" s="26" t="s">
        <v>1359</v>
      </c>
      <c r="F72" s="11" t="s">
        <v>1191</v>
      </c>
    </row>
    <row r="73" customFormat="false" ht="23.85" hidden="false" customHeight="false" outlineLevel="0" collapsed="false">
      <c r="A73" s="12" t="s">
        <v>823</v>
      </c>
      <c r="B73" s="11" t="s">
        <v>1271</v>
      </c>
      <c r="C73" s="12" t="s">
        <v>1360</v>
      </c>
      <c r="D73" s="11" t="s">
        <v>1273</v>
      </c>
      <c r="E73" s="26" t="s">
        <v>1361</v>
      </c>
      <c r="F73" s="11" t="s">
        <v>1191</v>
      </c>
    </row>
    <row r="74" customFormat="false" ht="15" hidden="false" customHeight="false" outlineLevel="0" collapsed="false">
      <c r="A74" s="12" t="s">
        <v>991</v>
      </c>
      <c r="B74" s="12" t="s">
        <v>1362</v>
      </c>
      <c r="C74" s="12" t="s">
        <v>1363</v>
      </c>
      <c r="D74" s="11" t="s">
        <v>1364</v>
      </c>
      <c r="E74" s="26" t="s">
        <v>1365</v>
      </c>
      <c r="F74" s="11" t="s">
        <v>1191</v>
      </c>
    </row>
    <row r="75" customFormat="false" ht="25.35" hidden="false" customHeight="false" outlineLevel="0" collapsed="false">
      <c r="A75" s="12" t="s">
        <v>1366</v>
      </c>
      <c r="B75" s="12" t="s">
        <v>1362</v>
      </c>
      <c r="C75" s="12" t="s">
        <v>1367</v>
      </c>
      <c r="D75" s="11" t="s">
        <v>1364</v>
      </c>
      <c r="E75" s="26" t="s">
        <v>1368</v>
      </c>
      <c r="F75" s="11" t="s">
        <v>1191</v>
      </c>
    </row>
    <row r="76" customFormat="false" ht="15" hidden="false" customHeight="false" outlineLevel="0" collapsed="false">
      <c r="A76" s="12" t="s">
        <v>988</v>
      </c>
      <c r="B76" s="12" t="s">
        <v>1362</v>
      </c>
      <c r="C76" s="12" t="s">
        <v>1369</v>
      </c>
      <c r="D76" s="11" t="s">
        <v>1364</v>
      </c>
      <c r="E76" s="26" t="s">
        <v>1370</v>
      </c>
      <c r="F76" s="11" t="s">
        <v>1191</v>
      </c>
    </row>
    <row r="77" customFormat="false" ht="25.35" hidden="false" customHeight="false" outlineLevel="0" collapsed="false">
      <c r="A77" s="12" t="s">
        <v>1371</v>
      </c>
      <c r="B77" s="12" t="s">
        <v>1362</v>
      </c>
      <c r="C77" s="12" t="s">
        <v>1372</v>
      </c>
      <c r="D77" s="11" t="s">
        <v>1364</v>
      </c>
      <c r="E77" s="26" t="s">
        <v>1373</v>
      </c>
      <c r="F77" s="11" t="s">
        <v>1191</v>
      </c>
    </row>
    <row r="78" customFormat="false" ht="15" hidden="false" customHeight="false" outlineLevel="0" collapsed="false">
      <c r="A78" s="12" t="s">
        <v>1374</v>
      </c>
      <c r="B78" s="12" t="s">
        <v>1362</v>
      </c>
      <c r="C78" s="12" t="s">
        <v>1375</v>
      </c>
      <c r="D78" s="11" t="s">
        <v>1364</v>
      </c>
      <c r="E78" s="26" t="s">
        <v>1376</v>
      </c>
      <c r="F78" s="11" t="s">
        <v>1191</v>
      </c>
    </row>
    <row r="79" customFormat="false" ht="15" hidden="false" customHeight="false" outlineLevel="0" collapsed="false">
      <c r="A79" s="12" t="s">
        <v>885</v>
      </c>
      <c r="B79" s="12" t="s">
        <v>1362</v>
      </c>
      <c r="C79" s="12" t="s">
        <v>1377</v>
      </c>
      <c r="D79" s="11" t="s">
        <v>1364</v>
      </c>
      <c r="E79" s="26" t="s">
        <v>1378</v>
      </c>
      <c r="F79" s="11" t="s">
        <v>1191</v>
      </c>
    </row>
    <row r="80" customFormat="false" ht="15" hidden="false" customHeight="false" outlineLevel="0" collapsed="false">
      <c r="A80" s="12" t="s">
        <v>1379</v>
      </c>
      <c r="B80" s="12" t="s">
        <v>1362</v>
      </c>
      <c r="C80" s="12" t="s">
        <v>1380</v>
      </c>
      <c r="D80" s="11" t="s">
        <v>1364</v>
      </c>
      <c r="E80" s="26" t="s">
        <v>1381</v>
      </c>
      <c r="F80" s="11" t="s">
        <v>1191</v>
      </c>
    </row>
    <row r="81" customFormat="false" ht="15" hidden="false" customHeight="false" outlineLevel="0" collapsed="false">
      <c r="A81" s="12" t="s">
        <v>1382</v>
      </c>
      <c r="B81" s="12" t="s">
        <v>1362</v>
      </c>
      <c r="C81" s="12" t="s">
        <v>1383</v>
      </c>
      <c r="D81" s="11" t="s">
        <v>1364</v>
      </c>
      <c r="E81" s="26" t="s">
        <v>1384</v>
      </c>
      <c r="F81" s="11" t="s">
        <v>1191</v>
      </c>
    </row>
    <row r="82" customFormat="false" ht="15" hidden="false" customHeight="false" outlineLevel="0" collapsed="false">
      <c r="A82" s="12" t="s">
        <v>715</v>
      </c>
      <c r="B82" s="12" t="s">
        <v>1362</v>
      </c>
      <c r="C82" s="12" t="s">
        <v>1385</v>
      </c>
      <c r="D82" s="11" t="s">
        <v>1364</v>
      </c>
      <c r="E82" s="26" t="s">
        <v>1386</v>
      </c>
      <c r="F82" s="11" t="s">
        <v>1191</v>
      </c>
    </row>
    <row r="83" customFormat="false" ht="23.85" hidden="false" customHeight="false" outlineLevel="0" collapsed="false">
      <c r="A83" s="12" t="s">
        <v>1387</v>
      </c>
      <c r="B83" s="12" t="s">
        <v>1362</v>
      </c>
      <c r="C83" s="12" t="s">
        <v>1388</v>
      </c>
      <c r="D83" s="11" t="s">
        <v>1364</v>
      </c>
      <c r="E83" s="26" t="s">
        <v>1389</v>
      </c>
      <c r="F83" s="11" t="s">
        <v>1191</v>
      </c>
    </row>
    <row r="84" customFormat="false" ht="15" hidden="false" customHeight="false" outlineLevel="0" collapsed="false">
      <c r="A84" s="12" t="s">
        <v>997</v>
      </c>
      <c r="B84" s="12" t="s">
        <v>1362</v>
      </c>
      <c r="C84" s="12" t="s">
        <v>1390</v>
      </c>
      <c r="D84" s="11" t="s">
        <v>1364</v>
      </c>
      <c r="E84" s="26" t="s">
        <v>1391</v>
      </c>
      <c r="F84" s="11" t="s">
        <v>1191</v>
      </c>
    </row>
    <row r="85" customFormat="false" ht="25.35" hidden="false" customHeight="false" outlineLevel="0" collapsed="false">
      <c r="A85" s="12" t="s">
        <v>1392</v>
      </c>
      <c r="B85" s="12" t="s">
        <v>1362</v>
      </c>
      <c r="C85" s="12" t="s">
        <v>1393</v>
      </c>
      <c r="D85" s="11" t="s">
        <v>1364</v>
      </c>
      <c r="E85" s="26" t="s">
        <v>1394</v>
      </c>
      <c r="F85" s="11" t="s">
        <v>1191</v>
      </c>
    </row>
    <row r="86" customFormat="false" ht="15" hidden="false" customHeight="false" outlineLevel="0" collapsed="false">
      <c r="A86" s="12" t="s">
        <v>655</v>
      </c>
      <c r="B86" s="12" t="s">
        <v>1395</v>
      </c>
      <c r="C86" s="12" t="s">
        <v>1396</v>
      </c>
      <c r="D86" s="11" t="s">
        <v>1364</v>
      </c>
      <c r="E86" s="26" t="s">
        <v>1397</v>
      </c>
      <c r="F86" s="11" t="s">
        <v>1191</v>
      </c>
    </row>
    <row r="87" customFormat="false" ht="15" hidden="false" customHeight="false" outlineLevel="0" collapsed="false">
      <c r="A87" s="12" t="s">
        <v>647</v>
      </c>
      <c r="B87" s="12" t="s">
        <v>1362</v>
      </c>
      <c r="C87" s="12" t="s">
        <v>1398</v>
      </c>
      <c r="D87" s="11" t="s">
        <v>1364</v>
      </c>
      <c r="E87" s="26" t="s">
        <v>1399</v>
      </c>
      <c r="F87" s="11" t="s">
        <v>1191</v>
      </c>
    </row>
    <row r="88" customFormat="false" ht="25.35" hidden="false" customHeight="false" outlineLevel="0" collapsed="false">
      <c r="A88" s="12" t="s">
        <v>1400</v>
      </c>
      <c r="B88" s="12" t="s">
        <v>1362</v>
      </c>
      <c r="C88" s="12" t="s">
        <v>1401</v>
      </c>
      <c r="D88" s="11" t="s">
        <v>1364</v>
      </c>
      <c r="E88" s="26" t="s">
        <v>1402</v>
      </c>
      <c r="F88" s="11" t="s">
        <v>1191</v>
      </c>
    </row>
    <row r="89" customFormat="false" ht="15" hidden="false" customHeight="false" outlineLevel="0" collapsed="false">
      <c r="A89" s="12" t="s">
        <v>1093</v>
      </c>
      <c r="B89" s="12" t="s">
        <v>1362</v>
      </c>
      <c r="C89" s="12" t="s">
        <v>1403</v>
      </c>
      <c r="D89" s="11" t="s">
        <v>1364</v>
      </c>
      <c r="E89" s="26" t="s">
        <v>1404</v>
      </c>
      <c r="F89" s="11" t="s">
        <v>1191</v>
      </c>
    </row>
    <row r="90" customFormat="false" ht="25.35" hidden="false" customHeight="false" outlineLevel="0" collapsed="false">
      <c r="A90" s="12" t="s">
        <v>456</v>
      </c>
      <c r="B90" s="12" t="s">
        <v>1362</v>
      </c>
      <c r="C90" s="12" t="s">
        <v>1405</v>
      </c>
      <c r="D90" s="11" t="s">
        <v>1364</v>
      </c>
      <c r="E90" s="26" t="s">
        <v>1406</v>
      </c>
      <c r="F90" s="11" t="s">
        <v>1191</v>
      </c>
    </row>
    <row r="91" customFormat="false" ht="15" hidden="false" customHeight="false" outlineLevel="0" collapsed="false">
      <c r="A91" s="12" t="s">
        <v>460</v>
      </c>
      <c r="B91" s="12" t="s">
        <v>1362</v>
      </c>
      <c r="C91" s="12" t="s">
        <v>1407</v>
      </c>
      <c r="D91" s="11" t="s">
        <v>1364</v>
      </c>
      <c r="E91" s="26" t="s">
        <v>1408</v>
      </c>
      <c r="F91" s="11" t="s">
        <v>1191</v>
      </c>
    </row>
    <row r="92" customFormat="false" ht="15" hidden="false" customHeight="false" outlineLevel="0" collapsed="false">
      <c r="A92" s="12" t="s">
        <v>465</v>
      </c>
      <c r="B92" s="12" t="s">
        <v>1362</v>
      </c>
      <c r="C92" s="12" t="s">
        <v>1409</v>
      </c>
      <c r="D92" s="11" t="s">
        <v>1364</v>
      </c>
      <c r="E92" s="26" t="s">
        <v>1410</v>
      </c>
      <c r="F92" s="11" t="s">
        <v>1191</v>
      </c>
    </row>
    <row r="93" customFormat="false" ht="15" hidden="false" customHeight="false" outlineLevel="0" collapsed="false">
      <c r="A93" s="12" t="s">
        <v>486</v>
      </c>
      <c r="B93" s="12" t="s">
        <v>1362</v>
      </c>
      <c r="C93" s="12" t="s">
        <v>1411</v>
      </c>
      <c r="D93" s="11" t="s">
        <v>1364</v>
      </c>
      <c r="E93" s="26" t="s">
        <v>1412</v>
      </c>
      <c r="F93" s="11" t="s">
        <v>1191</v>
      </c>
    </row>
    <row r="94" customFormat="false" ht="25.35" hidden="false" customHeight="false" outlineLevel="0" collapsed="false">
      <c r="A94" s="12" t="s">
        <v>1413</v>
      </c>
      <c r="B94" s="12" t="s">
        <v>1362</v>
      </c>
      <c r="C94" s="12" t="s">
        <v>1414</v>
      </c>
      <c r="D94" s="11" t="s">
        <v>1364</v>
      </c>
      <c r="E94" s="26" t="s">
        <v>1415</v>
      </c>
      <c r="F94" s="11" t="s">
        <v>1191</v>
      </c>
    </row>
    <row r="95" customFormat="false" ht="15" hidden="false" customHeight="false" outlineLevel="0" collapsed="false">
      <c r="A95" s="12" t="s">
        <v>1416</v>
      </c>
      <c r="B95" s="12" t="s">
        <v>1362</v>
      </c>
      <c r="C95" s="12" t="s">
        <v>1417</v>
      </c>
      <c r="D95" s="11" t="s">
        <v>1364</v>
      </c>
      <c r="E95" s="26" t="s">
        <v>1418</v>
      </c>
      <c r="F95" s="11" t="s">
        <v>1191</v>
      </c>
    </row>
    <row r="96" customFormat="false" ht="15" hidden="false" customHeight="false" outlineLevel="0" collapsed="false">
      <c r="A96" s="12" t="s">
        <v>1419</v>
      </c>
      <c r="B96" s="12" t="s">
        <v>1362</v>
      </c>
      <c r="C96" s="12" t="s">
        <v>1420</v>
      </c>
      <c r="D96" s="11" t="s">
        <v>1364</v>
      </c>
      <c r="E96" s="26" t="s">
        <v>1421</v>
      </c>
      <c r="F96" s="11" t="s">
        <v>1191</v>
      </c>
    </row>
    <row r="97" customFormat="false" ht="26.85" hidden="false" customHeight="false" outlineLevel="0" collapsed="false">
      <c r="A97" s="12" t="s">
        <v>807</v>
      </c>
      <c r="B97" s="12" t="s">
        <v>1362</v>
      </c>
      <c r="C97" s="12" t="s">
        <v>1422</v>
      </c>
      <c r="D97" s="11" t="s">
        <v>1364</v>
      </c>
      <c r="E97" s="26" t="s">
        <v>1423</v>
      </c>
      <c r="F97" s="11" t="s">
        <v>1191</v>
      </c>
    </row>
    <row r="98" customFormat="false" ht="25.35" hidden="false" customHeight="false" outlineLevel="0" collapsed="false">
      <c r="A98" s="12" t="s">
        <v>1424</v>
      </c>
      <c r="B98" s="12" t="s">
        <v>1362</v>
      </c>
      <c r="C98" s="12" t="s">
        <v>1425</v>
      </c>
      <c r="D98" s="11" t="s">
        <v>1364</v>
      </c>
      <c r="E98" s="26" t="s">
        <v>1426</v>
      </c>
      <c r="F98" s="11" t="s">
        <v>1191</v>
      </c>
    </row>
    <row r="99" customFormat="false" ht="25.35" hidden="false" customHeight="false" outlineLevel="0" collapsed="false">
      <c r="A99" s="12" t="s">
        <v>816</v>
      </c>
      <c r="B99" s="12" t="s">
        <v>1362</v>
      </c>
      <c r="C99" s="12" t="s">
        <v>1427</v>
      </c>
      <c r="D99" s="11" t="s">
        <v>1364</v>
      </c>
      <c r="E99" s="26" t="s">
        <v>1428</v>
      </c>
      <c r="F99" s="11" t="s">
        <v>1191</v>
      </c>
    </row>
    <row r="100" customFormat="false" ht="26.85" hidden="false" customHeight="false" outlineLevel="0" collapsed="false">
      <c r="A100" s="12" t="s">
        <v>827</v>
      </c>
      <c r="B100" s="12" t="s">
        <v>1362</v>
      </c>
      <c r="C100" s="12" t="s">
        <v>1429</v>
      </c>
      <c r="D100" s="11" t="s">
        <v>1364</v>
      </c>
      <c r="E100" s="26" t="s">
        <v>1430</v>
      </c>
      <c r="F100" s="11" t="s">
        <v>1191</v>
      </c>
    </row>
    <row r="101" customFormat="false" ht="25.35" hidden="false" customHeight="false" outlineLevel="0" collapsed="false">
      <c r="A101" s="12" t="s">
        <v>1431</v>
      </c>
      <c r="B101" s="12" t="s">
        <v>1395</v>
      </c>
      <c r="C101" s="12" t="s">
        <v>1432</v>
      </c>
      <c r="D101" s="11" t="s">
        <v>1364</v>
      </c>
      <c r="E101" s="26" t="s">
        <v>1433</v>
      </c>
      <c r="F101" s="11" t="s">
        <v>1191</v>
      </c>
    </row>
    <row r="102" customFormat="false" ht="15" hidden="false" customHeight="false" outlineLevel="0" collapsed="false">
      <c r="A102" s="12" t="s">
        <v>922</v>
      </c>
      <c r="B102" s="12" t="s">
        <v>1395</v>
      </c>
      <c r="C102" s="12" t="s">
        <v>1434</v>
      </c>
      <c r="D102" s="11" t="s">
        <v>1364</v>
      </c>
      <c r="E102" s="26" t="s">
        <v>1435</v>
      </c>
      <c r="F102" s="11" t="s">
        <v>1191</v>
      </c>
    </row>
    <row r="103" customFormat="false" ht="25.35" hidden="false" customHeight="false" outlineLevel="0" collapsed="false">
      <c r="A103" s="12" t="s">
        <v>1062</v>
      </c>
      <c r="B103" s="12" t="s">
        <v>1362</v>
      </c>
      <c r="C103" s="12" t="s">
        <v>1436</v>
      </c>
      <c r="D103" s="11" t="s">
        <v>1364</v>
      </c>
      <c r="E103" s="26" t="s">
        <v>1437</v>
      </c>
      <c r="F103" s="11" t="s">
        <v>1191</v>
      </c>
    </row>
    <row r="104" customFormat="false" ht="15" hidden="false" customHeight="false" outlineLevel="0" collapsed="false">
      <c r="A104" s="12" t="s">
        <v>1043</v>
      </c>
      <c r="B104" s="12" t="s">
        <v>1362</v>
      </c>
      <c r="C104" s="12" t="s">
        <v>1438</v>
      </c>
      <c r="D104" s="11" t="s">
        <v>1364</v>
      </c>
      <c r="E104" s="26" t="s">
        <v>1439</v>
      </c>
      <c r="F104" s="11" t="s">
        <v>1191</v>
      </c>
    </row>
    <row r="105" customFormat="false" ht="15" hidden="false" customHeight="false" outlineLevel="0" collapsed="false">
      <c r="A105" s="12" t="s">
        <v>1027</v>
      </c>
      <c r="B105" s="12" t="s">
        <v>1362</v>
      </c>
      <c r="C105" s="12" t="s">
        <v>1440</v>
      </c>
      <c r="D105" s="11" t="s">
        <v>1364</v>
      </c>
      <c r="E105" s="26" t="s">
        <v>1441</v>
      </c>
      <c r="F105" s="11" t="s">
        <v>1191</v>
      </c>
    </row>
    <row r="106" customFormat="false" ht="15" hidden="false" customHeight="false" outlineLevel="0" collapsed="false">
      <c r="A106" s="12" t="s">
        <v>1442</v>
      </c>
      <c r="B106" s="12" t="s">
        <v>1395</v>
      </c>
      <c r="C106" s="12" t="s">
        <v>1443</v>
      </c>
      <c r="D106" s="11" t="s">
        <v>1364</v>
      </c>
      <c r="E106" s="26" t="s">
        <v>1444</v>
      </c>
      <c r="F106" s="11" t="s">
        <v>1191</v>
      </c>
    </row>
    <row r="107" customFormat="false" ht="15" hidden="false" customHeight="false" outlineLevel="0" collapsed="false">
      <c r="A107" s="12" t="s">
        <v>1445</v>
      </c>
      <c r="B107" s="11" t="s">
        <v>1446</v>
      </c>
      <c r="C107" s="12" t="s">
        <v>1447</v>
      </c>
      <c r="D107" s="11" t="s">
        <v>1448</v>
      </c>
      <c r="E107" s="26" t="s">
        <v>1449</v>
      </c>
      <c r="F107" s="11" t="s">
        <v>1191</v>
      </c>
    </row>
    <row r="108" customFormat="false" ht="15" hidden="false" customHeight="false" outlineLevel="0" collapsed="false">
      <c r="A108" s="12" t="s">
        <v>1450</v>
      </c>
      <c r="B108" s="11" t="s">
        <v>1451</v>
      </c>
      <c r="C108" s="12" t="s">
        <v>1452</v>
      </c>
      <c r="D108" s="11" t="s">
        <v>1448</v>
      </c>
      <c r="E108" s="26" t="s">
        <v>1453</v>
      </c>
      <c r="F108" s="11" t="s">
        <v>1191</v>
      </c>
    </row>
    <row r="109" customFormat="false" ht="15" hidden="false" customHeight="false" outlineLevel="0" collapsed="false">
      <c r="A109" s="12" t="s">
        <v>578</v>
      </c>
      <c r="B109" s="11" t="s">
        <v>1454</v>
      </c>
      <c r="C109" s="12" t="s">
        <v>1455</v>
      </c>
      <c r="D109" s="11" t="s">
        <v>1448</v>
      </c>
      <c r="E109" s="26" t="s">
        <v>1456</v>
      </c>
      <c r="F109" s="11" t="s">
        <v>1191</v>
      </c>
    </row>
    <row r="110" customFormat="false" ht="15" hidden="false" customHeight="false" outlineLevel="0" collapsed="false">
      <c r="A110" s="12" t="s">
        <v>1457</v>
      </c>
      <c r="B110" s="11" t="s">
        <v>1458</v>
      </c>
      <c r="C110" s="12" t="s">
        <v>1459</v>
      </c>
      <c r="D110" s="11" t="s">
        <v>1460</v>
      </c>
      <c r="E110" s="26" t="s">
        <v>1461</v>
      </c>
      <c r="F110" s="11" t="s">
        <v>1191</v>
      </c>
    </row>
    <row r="111" customFormat="false" ht="15" hidden="false" customHeight="false" outlineLevel="0" collapsed="false">
      <c r="A111" s="12" t="s">
        <v>1462</v>
      </c>
      <c r="B111" s="11" t="s">
        <v>1458</v>
      </c>
      <c r="C111" s="12" t="s">
        <v>1463</v>
      </c>
      <c r="D111" s="11" t="s">
        <v>1460</v>
      </c>
      <c r="E111" s="26" t="s">
        <v>1464</v>
      </c>
      <c r="F111" s="11" t="s">
        <v>1191</v>
      </c>
    </row>
    <row r="112" customFormat="false" ht="15" hidden="false" customHeight="false" outlineLevel="0" collapsed="false">
      <c r="A112" s="12" t="s">
        <v>1465</v>
      </c>
      <c r="B112" s="11" t="s">
        <v>1458</v>
      </c>
      <c r="C112" s="12" t="s">
        <v>1466</v>
      </c>
      <c r="D112" s="11" t="s">
        <v>1460</v>
      </c>
      <c r="E112" s="26" t="s">
        <v>1467</v>
      </c>
      <c r="F112" s="11" t="s">
        <v>1191</v>
      </c>
    </row>
    <row r="113" customFormat="false" ht="26.85" hidden="false" customHeight="false" outlineLevel="0" collapsed="false">
      <c r="A113" s="12" t="s">
        <v>1001</v>
      </c>
      <c r="B113" s="11" t="s">
        <v>1468</v>
      </c>
      <c r="C113" s="12" t="s">
        <v>1469</v>
      </c>
      <c r="D113" s="11" t="s">
        <v>1460</v>
      </c>
      <c r="E113" s="26" t="s">
        <v>1470</v>
      </c>
      <c r="F113" s="11" t="s">
        <v>1191</v>
      </c>
    </row>
    <row r="114" customFormat="false" ht="15" hidden="false" customHeight="false" outlineLevel="0" collapsed="false">
      <c r="A114" s="12" t="s">
        <v>1471</v>
      </c>
      <c r="B114" s="11" t="s">
        <v>1472</v>
      </c>
      <c r="C114" s="12" t="s">
        <v>1473</v>
      </c>
      <c r="D114" s="11" t="s">
        <v>1460</v>
      </c>
      <c r="E114" s="26" t="s">
        <v>1474</v>
      </c>
      <c r="F114" s="11" t="s">
        <v>1191</v>
      </c>
    </row>
    <row r="115" customFormat="false" ht="23.85" hidden="false" customHeight="false" outlineLevel="0" collapsed="false">
      <c r="A115" s="12" t="s">
        <v>1475</v>
      </c>
      <c r="B115" s="11" t="s">
        <v>1476</v>
      </c>
      <c r="C115" s="12" t="s">
        <v>1477</v>
      </c>
      <c r="D115" s="11" t="s">
        <v>1460</v>
      </c>
      <c r="E115" s="26" t="s">
        <v>1478</v>
      </c>
      <c r="F115" s="11" t="s">
        <v>1191</v>
      </c>
    </row>
    <row r="116" customFormat="false" ht="26.85" hidden="false" customHeight="false" outlineLevel="0" collapsed="false">
      <c r="A116" s="12" t="s">
        <v>1024</v>
      </c>
      <c r="B116" s="11" t="s">
        <v>1479</v>
      </c>
      <c r="C116" s="12" t="s">
        <v>1480</v>
      </c>
      <c r="D116" s="11" t="s">
        <v>1460</v>
      </c>
      <c r="E116" s="26" t="s">
        <v>1481</v>
      </c>
      <c r="F116" s="11" t="s">
        <v>1191</v>
      </c>
    </row>
    <row r="117" customFormat="false" ht="15" hidden="false" customHeight="false" outlineLevel="0" collapsed="false">
      <c r="A117" s="12" t="s">
        <v>1004</v>
      </c>
      <c r="B117" s="11" t="s">
        <v>1482</v>
      </c>
      <c r="C117" s="12" t="s">
        <v>1483</v>
      </c>
      <c r="D117" s="11" t="s">
        <v>1460</v>
      </c>
      <c r="E117" s="26" t="s">
        <v>1484</v>
      </c>
      <c r="F117" s="11" t="s">
        <v>1191</v>
      </c>
    </row>
    <row r="118" customFormat="false" ht="25.35" hidden="false" customHeight="false" outlineLevel="0" collapsed="false">
      <c r="A118" s="12" t="s">
        <v>1485</v>
      </c>
      <c r="B118" s="11" t="s">
        <v>1486</v>
      </c>
      <c r="C118" s="12" t="s">
        <v>1487</v>
      </c>
      <c r="D118" s="11" t="s">
        <v>1460</v>
      </c>
      <c r="E118" s="26" t="s">
        <v>1488</v>
      </c>
      <c r="F118" s="11" t="s">
        <v>1191</v>
      </c>
    </row>
    <row r="119" customFormat="false" ht="15" hidden="false" customHeight="false" outlineLevel="0" collapsed="false">
      <c r="A119" s="12" t="s">
        <v>1489</v>
      </c>
      <c r="B119" s="12" t="s">
        <v>1490</v>
      </c>
      <c r="C119" s="12" t="s">
        <v>1491</v>
      </c>
      <c r="D119" s="11" t="s">
        <v>1492</v>
      </c>
      <c r="E119" s="26" t="s">
        <v>1493</v>
      </c>
      <c r="F119" s="11" t="s">
        <v>1191</v>
      </c>
    </row>
    <row r="120" customFormat="false" ht="15" hidden="false" customHeight="false" outlineLevel="0" collapsed="false">
      <c r="A120" s="12" t="s">
        <v>1494</v>
      </c>
      <c r="B120" s="12" t="s">
        <v>1495</v>
      </c>
      <c r="C120" s="12" t="s">
        <v>1496</v>
      </c>
      <c r="D120" s="11" t="s">
        <v>1492</v>
      </c>
      <c r="E120" s="26" t="s">
        <v>1497</v>
      </c>
      <c r="F120" s="11" t="s">
        <v>1191</v>
      </c>
    </row>
    <row r="121" customFormat="false" ht="15" hidden="false" customHeight="false" outlineLevel="0" collapsed="false">
      <c r="A121" s="12" t="s">
        <v>1498</v>
      </c>
      <c r="B121" s="12" t="s">
        <v>1499</v>
      </c>
      <c r="C121" s="12" t="s">
        <v>1500</v>
      </c>
      <c r="D121" s="11" t="s">
        <v>1492</v>
      </c>
      <c r="E121" s="26" t="s">
        <v>1501</v>
      </c>
      <c r="F121" s="11" t="s">
        <v>1191</v>
      </c>
    </row>
    <row r="122" customFormat="false" ht="15" hidden="false" customHeight="false" outlineLevel="0" collapsed="false">
      <c r="A122" s="12" t="s">
        <v>1502</v>
      </c>
      <c r="B122" s="12" t="s">
        <v>1503</v>
      </c>
      <c r="C122" s="12" t="s">
        <v>1504</v>
      </c>
      <c r="D122" s="11" t="s">
        <v>1492</v>
      </c>
      <c r="E122" s="26" t="s">
        <v>1505</v>
      </c>
      <c r="F122" s="11" t="s">
        <v>1191</v>
      </c>
    </row>
    <row r="123" customFormat="false" ht="15" hidden="false" customHeight="false" outlineLevel="0" collapsed="false">
      <c r="A123" s="12" t="s">
        <v>381</v>
      </c>
      <c r="B123" s="12" t="s">
        <v>1506</v>
      </c>
      <c r="C123" s="12" t="s">
        <v>1507</v>
      </c>
      <c r="D123" s="11" t="s">
        <v>1508</v>
      </c>
      <c r="E123" s="26" t="s">
        <v>1509</v>
      </c>
      <c r="F123" s="11" t="s">
        <v>1191</v>
      </c>
    </row>
    <row r="124" customFormat="false" ht="15" hidden="false" customHeight="false" outlineLevel="0" collapsed="false">
      <c r="A124" s="12" t="s">
        <v>1510</v>
      </c>
      <c r="B124" s="12" t="s">
        <v>1511</v>
      </c>
      <c r="C124" s="12" t="s">
        <v>1512</v>
      </c>
      <c r="D124" s="11" t="s">
        <v>1508</v>
      </c>
      <c r="E124" s="26" t="s">
        <v>1513</v>
      </c>
      <c r="F124" s="11" t="s">
        <v>1191</v>
      </c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</row>
    <row r="126" customFormat="false" ht="15" hidden="false" customHeight="false" outlineLevel="0" collapsed="false">
      <c r="A126" s="2"/>
      <c r="B126" s="52" t="s">
        <v>1514</v>
      </c>
      <c r="C126" s="2"/>
      <c r="D126" s="2"/>
      <c r="E126" s="2"/>
      <c r="F126" s="2"/>
    </row>
    <row r="127" customFormat="false" ht="15" hidden="false" customHeight="false" outlineLevel="0" collapsed="false">
      <c r="A127" s="2"/>
      <c r="B127" s="14" t="s">
        <v>1189</v>
      </c>
      <c r="C127" s="15" t="n">
        <f aca="false">COUNTIF($D$5:$D$124,B127)</f>
        <v>28</v>
      </c>
      <c r="D127" s="2"/>
      <c r="E127" s="2"/>
      <c r="F127" s="2"/>
    </row>
    <row r="128" customFormat="false" ht="15" hidden="false" customHeight="false" outlineLevel="0" collapsed="false">
      <c r="A128" s="2"/>
      <c r="B128" s="14" t="s">
        <v>1273</v>
      </c>
      <c r="C128" s="15" t="n">
        <f aca="false">COUNTIF($D$5:$D$124,B128)</f>
        <v>41</v>
      </c>
      <c r="D128" s="2"/>
      <c r="E128" s="2"/>
      <c r="F128" s="2"/>
    </row>
    <row r="129" customFormat="false" ht="15" hidden="false" customHeight="false" outlineLevel="0" collapsed="false">
      <c r="A129" s="2"/>
      <c r="B129" s="14" t="s">
        <v>1364</v>
      </c>
      <c r="C129" s="15" t="n">
        <f aca="false">COUNTIF($D$5:$D$124,B129)</f>
        <v>33</v>
      </c>
      <c r="D129" s="2"/>
      <c r="E129" s="2"/>
      <c r="F129" s="2"/>
    </row>
    <row r="130" customFormat="false" ht="15" hidden="false" customHeight="false" outlineLevel="0" collapsed="false">
      <c r="A130" s="2"/>
      <c r="B130" s="14" t="s">
        <v>1448</v>
      </c>
      <c r="C130" s="15" t="n">
        <f aca="false">COUNTIF($D$5:$D$124,B130)</f>
        <v>3</v>
      </c>
      <c r="D130" s="2"/>
      <c r="E130" s="2"/>
      <c r="F130" s="2"/>
    </row>
    <row r="131" customFormat="false" ht="15" hidden="false" customHeight="false" outlineLevel="0" collapsed="false">
      <c r="A131" s="2"/>
      <c r="B131" s="14" t="s">
        <v>1460</v>
      </c>
      <c r="C131" s="15" t="n">
        <f aca="false">COUNTIF($D$5:$D$124,B131)</f>
        <v>9</v>
      </c>
      <c r="D131" s="2"/>
      <c r="E131" s="2"/>
      <c r="F131" s="2"/>
    </row>
    <row r="132" customFormat="false" ht="15" hidden="false" customHeight="false" outlineLevel="0" collapsed="false">
      <c r="A132" s="2"/>
      <c r="B132" s="14" t="s">
        <v>1508</v>
      </c>
      <c r="C132" s="15" t="n">
        <f aca="false">COUNTIF($D$5:$D$124,B132)</f>
        <v>2</v>
      </c>
      <c r="D132" s="2"/>
      <c r="E132" s="2"/>
      <c r="F132" s="2"/>
    </row>
    <row r="133" customFormat="false" ht="15" hidden="false" customHeight="false" outlineLevel="0" collapsed="false">
      <c r="A133" s="2"/>
      <c r="B133" s="14" t="s">
        <v>1492</v>
      </c>
      <c r="C133" s="15" t="n">
        <f aca="false">COUNTIF($D$5:$D$124,B133)</f>
        <v>4</v>
      </c>
      <c r="D133" s="2"/>
      <c r="E133" s="2"/>
      <c r="F133" s="2"/>
    </row>
    <row r="134" customFormat="false" ht="15" hidden="false" customHeight="false" outlineLevel="0" collapsed="false">
      <c r="A134" s="2"/>
      <c r="B134" s="28" t="s">
        <v>1515</v>
      </c>
      <c r="C134" s="28" t="n">
        <f aca="false">SUM(C127:C130)</f>
        <v>105</v>
      </c>
      <c r="D134" s="2"/>
      <c r="E134" s="2"/>
      <c r="F134" s="2"/>
    </row>
    <row r="135" customFormat="false" ht="15" hidden="false" customHeight="false" outlineLevel="0" collapsed="false">
      <c r="A135" s="2"/>
      <c r="B135" s="28" t="s">
        <v>1516</v>
      </c>
      <c r="C135" s="29" t="n">
        <f aca="false">C134/COUNTA($A$5:$A$124)</f>
        <v>0.875</v>
      </c>
      <c r="D135" s="2"/>
      <c r="E135" s="2"/>
      <c r="F135" s="2"/>
    </row>
  </sheetData>
  <mergeCells count="1">
    <mergeCell ref="A2:F2"/>
  </mergeCells>
  <hyperlinks>
    <hyperlink ref="E5" r:id="rId1" display="https://www.mfa.gov.by/export/tariffs/vvoz/"/>
    <hyperlink ref="E6" r:id="rId2" display="https://mfa.gov.by/export/tariffs/"/>
    <hyperlink ref="E7" r:id="rId3" display="https://mfa.gov.by/export/tariffs/rates/"/>
    <hyperlink ref="E8" r:id="rId4" display="https://mfa.gov.by/export/tariffs/rates/up/"/>
    <hyperlink ref="E9" r:id="rId5" display="https://www.mfa.gov.by/export/tariffs/preferences/"/>
    <hyperlink ref="E10" r:id="rId6" display="https://www.mfa.gov.by/export/tariffs/vyvoz/"/>
    <hyperlink ref="E11" r:id="rId7" display="https://www.mfa.gov.by/export/traderegimes/"/>
    <hyperlink ref="E12" r:id="rId8" display="https://mfa.gov.by/mulateral/organization/list/f535809e487e0aeb.html"/>
    <hyperlink ref="E13" r:id="rId9" display="https://www.mfa.gov.by/en/export/wto/accession/"/>
    <hyperlink ref="E14" r:id="rId10" display="https://www.customs.gov.by/tamozhennye-poshliny/vvoznye-tamozhennye-poshliny/"/>
    <hyperlink ref="E15" r:id="rId11" display="https://www.customs.gov.by/participants-ved/tarifnoe-regulirovanie-i-tamozhennye-platezhi-vzimaemye-tamozhennymi-organami/tamozhennye-poshliny/"/>
    <hyperlink ref="E16" r:id="rId12" display="https://www.customs.gov.by/tamozhennye-poshliny/vyvoznye-tamozhennye-poshliny/"/>
    <hyperlink ref="E17" r:id="rId13" display="https://www.customs.gov.by/participants-ved/tarifnoe-regulirovanie-i-tamozhennye-platezhi-vzimaemye-tamozhennymi-organami/tamozhennye-sbory/"/>
    <hyperlink ref="E18" r:id="rId14" display="https://www.customs.gov.by/participants-ved/kommentariy-k-zakonu-o-tamozhennom-regulirovanii-v-respublike-belarus/kommentariy-k-zakonu-rb-o-tamozhennom-regulirovanii-v-respubliki-belarus-s-uchetom-izmeneniy-vnesenn/"/>
    <hyperlink ref="E19" r:id="rId15" display="https://www.customs.gov.by/calc/"/>
    <hyperlink ref="E20" r:id="rId16" display="https://www.customs.gov.by/news/vnimaniyu-fizicheskikh-lits-o-normakh-besposhlinnogo-vvoza-tovarov-dlya-lichnogo-polzovaniya/"/>
    <hyperlink ref="E21" r:id="rId17" display="https://www.customs.gov.by/news/limit-besposhlinnogo-vvoza-tovarov-dlya-lichnogo-polzovaniya-v-1-tys-evro-i-31-kg-prodlen-do-1-aprel/"/>
    <hyperlink ref="E22" r:id="rId18" display="https://www.customs.gov.by/fizicheskim-litsam/osobennosti-soversheniya-tamozhennykh-operatsiy-v-otnoshenii-tovarov-dlya-lichnogo-polzovaniya-peres/"/>
    <hyperlink ref="E23" r:id="rId19" display="https://www.customs.gov.by/participants-ved/biznesmenam/utilizatsionnyy-sbor/"/>
    <hyperlink ref="E24" r:id="rId20" display="https://www.customs.gov.by/news/izmenenie-stavok-utilizatsionnogo-sbora-s-10-fevralya-2025-goda/"/>
    <hyperlink ref="E25" r:id="rId21" display="https://www.customs.gov.by/news/ob-ustanovlenii-lgot-v-otnoshenii-elektromobiley-na-2026-god/"/>
    <hyperlink ref="E26" r:id="rId22" display="https://nalog.gov.by/inspectorates/reference/imns-minsk-region/clarifications/33985"/>
    <hyperlink ref="E27" r:id="rId23" display="https://nalog.gov.by/upload/doc/%D0%9F%D0%B5%D1%80%D0%B5%D1%87%D0%B5%D0%BD%D1%8C%20%D1%82%D0%BE%D0%B2%D0%B0%D1%80%D0%BE%D0%B2.pdf"/>
    <hyperlink ref="E28" r:id="rId24" display="https://nalog.gov.by/clarifications/comments/33596/"/>
    <hyperlink ref="E29" r:id="rId25" display="https://nalog.gov.by/news/33270/"/>
    <hyperlink ref="E30" r:id="rId26" display="https://www.minfin.gov.by/ru/tax_policy/tax_system/doc/12b988b8d25b4048.html"/>
    <hyperlink ref="E31" r:id="rId27" display="https://www.minfin.gov.by/ru/tax_policy/tax_system/doc/92aa7b734d3b48a6.html"/>
    <hyperlink ref="E32" r:id="rId28" display="https://economy.gov.by/ru/ttn-ru/"/>
    <hyperlink ref="E33" r:id="rId29" display="https://pravo.by/document/?guid=3871&amp;p0=f01400176"/>
    <hyperlink ref="E34" r:id="rId30" display="https://pravo.by/novosti/obshchestvenno-politicheskie-i-v-oblasti-prava/2018/january/27031/"/>
    <hyperlink ref="E35" r:id="rId31" display="https://pravo.by/document/?guid=3871&amp;p0=P30600443"/>
    <hyperlink ref="E36" r:id="rId32" display="https://pravo.by/document/?guid=3871&amp;p0=P31000716"/>
    <hyperlink ref="E37" r:id="rId33" display="https://pravo.by/novosti/obshchestvenno-politicheskie-i-v-oblasti-prava/2025/maj/88640/"/>
    <hyperlink ref="E38" r:id="rId34" display="https://pravo.by/novosti/obshchestvenno-politicheskie-i-v-oblasti-prava/2025/november/91155/"/>
    <hyperlink ref="E39" r:id="rId35" display="https://pravo.by/novosti/obshchestvenno-politicheskie-i-v-oblasti-prava/2025/november/91153/"/>
    <hyperlink ref="E40" r:id="rId36" display="https://pravo.by/novosti/obshchestvenno-politicheskie-i-v-oblasti-prava/2024/mart/77194/"/>
    <hyperlink ref="E41" r:id="rId37" display="https://pravo.by/novosti/obshchestvenno-politicheskie-i-v-oblasti-prava/2026/january/91835/"/>
    <hyperlink ref="E42" r:id="rId38" display="https://pravo.by/novosti/obshchestvenno-politicheskie-i-v-oblasti-prava/2026/august/94519/"/>
    <hyperlink ref="E43" r:id="rId39" display="https://pravo.by/novosti/obshchestvenno-politicheskie-i-v-oblasti-prava/2025/october/90645/"/>
    <hyperlink ref="E44" r:id="rId40" display="https://pravo.by/novosti/obshchestvenno-politicheskie-i-v-oblasti-prava/2025/october/90569/"/>
    <hyperlink ref="E45" r:id="rId41" display="https://pravo.by/novosti/obshchestvenno-politicheskie-i-v-oblasti-prava/2026/february/92131/"/>
    <hyperlink ref="E46" r:id="rId42" display="https://pravo.by/novosti/obshchestvenno-politicheskie-i-v-oblasti-prava/2026/maj/93389/"/>
    <hyperlink ref="E47" r:id="rId43" display="https://pravo.by/novosti/obshchestvenno-politicheskie-i-v-oblasti-prava/2026/april/93202/"/>
    <hyperlink ref="E48" r:id="rId44" display="https://pravo.by/novosti/obshchestvenno-politicheskie-i-v-oblasti-prava/2026/january/91745/"/>
    <hyperlink ref="E49" r:id="rId45" display="https://pravo.by/novosti/obshchestvenno-politicheskie-i-v-oblasti-prava/2025/november/90979/"/>
    <hyperlink ref="E50" r:id="rId46" display="https://pravo.by/novosti/obshchestvenno-politicheskie-i-v-oblasti-prava/2026/maj/93386/"/>
    <hyperlink ref="E51" r:id="rId47" display="https://pravo.by/novosti/obshchestvenno-politicheskie-i-v-oblasti-prava/2026/maj/93417/"/>
    <hyperlink ref="E52" r:id="rId48" display="https://pravo.by/novosti/novosti-pravo-by/2026/april/93091/"/>
    <hyperlink ref="E53" r:id="rId49" display="https://pravo.by/novosti/obshchestvenno-politicheskie-i-v-oblasti-prava/2026/mart/92886/"/>
    <hyperlink ref="E54" r:id="rId50" display="https://pravo.by/document/?guid=3871&amp;p0=C22500808"/>
    <hyperlink ref="E55" r:id="rId51" display="https://pravo.by/novosti/obshchestvenno-politicheskie-i-v-oblasti-prava/2026/february/92147/"/>
    <hyperlink ref="E56" r:id="rId52" display="https://pravo.by/novosti/obshchestvenno-politicheskie-i-v-oblasti-prava/2024/maj/77786/"/>
    <hyperlink ref="E57" r:id="rId53" display="https://pravo.by/novosti/obshchestvenno-politicheskie-i-v-oblasti-prava/2026/september/94822/"/>
    <hyperlink ref="E58" r:id="rId54" display="https://pravo.by/document/?guid=12551&amp;p0=C22600128"/>
    <hyperlink ref="E59" r:id="rId55" display="https://pravo.by/novosti/obshchestvenno-politicheskie-i-v-oblasti-prava/2025/september/89990/"/>
    <hyperlink ref="E60" r:id="rId56" display="https://pravo.by/novosti/obshchestvenno-politicheskie-i-v-oblasti-prava/2026/february/92249/"/>
    <hyperlink ref="E61" r:id="rId57" display="https://pravo.by/novosti/obshchestvenno-politicheskie-i-v-oblasti-prava/2026/april/92977/"/>
    <hyperlink ref="E62" r:id="rId58" display="https://pravo.by/novosti/obshchestvenno-politicheskie-i-v-oblasti-prava/2026/maj/93540/"/>
    <hyperlink ref="E63" r:id="rId59" display="https://pravo.by/novosti/obshchestvenno-politicheskie-i-v-oblasti-prava/2025/april/88418/"/>
    <hyperlink ref="E64" r:id="rId60" display="https://pravo.by/novosti/obshchestvenno-politicheskie-i-v-oblasti-prava/2025/maj/88715/"/>
    <hyperlink ref="E65" r:id="rId61" display="https://pravo.by/novosti/obshchestvenno-politicheskie-i-v-oblasti-prava/2025/december/91332/"/>
    <hyperlink ref="E66" r:id="rId62" display="https://pravo.by/novosti/obshchestvenno-politicheskie-i-v-oblasti-prava/2025/december/91549/"/>
    <hyperlink ref="E67" r:id="rId63" display="https://pravo.by/document/?guid=3871&amp;p0=N01100083"/>
    <hyperlink ref="E68" r:id="rId64" display="https://pravo.by/novosti/obshchestvenno-politicheskie-i-v-oblasti-prava/2025/june/89278/"/>
    <hyperlink ref="E69" r:id="rId65" display="https://pravo.by/document/?guid=3871&amp;p0=P31700166"/>
    <hyperlink ref="E70" r:id="rId66" display="https://pravo.by/novosti/obshchestvenno-politicheskie-i-v-oblasti-prava/2024/mart/76990/"/>
    <hyperlink ref="E71" r:id="rId67" display="https://pravo.by/novosti/obshchestvenno-politicheskie-i-v-oblasti-prava/2025/december/91191/"/>
    <hyperlink ref="E72" r:id="rId68" display="https://pravo.by/document/?guid=3871&amp;p0=F92500257"/>
    <hyperlink ref="E73" r:id="rId69" display="https://pravo.by/document/?guid=3871&amp;p0=F92500258"/>
    <hyperlink ref="E74" r:id="rId70" display="https://belta.by/economics/view/sovet-eek-iskljuchil-77-gosudarstv-iz-sistemy-tarifnyh-preferentsij-eaes-431450-2021/"/>
    <hyperlink ref="E75" r:id="rId71" display="https://belta.by/economics/view/eek-obnovila-perechni-stran-polzovatelej-edinoj-sistemy-tarifnyh-preferentsij-eaes-436828-2021/"/>
    <hyperlink ref="E76" r:id="rId72" display="https://www.belta.by/economics/view/eaes-poka-ne-gotov-perehodit-na-preferentsialnyj-rezhim-torgovli-s-kitaem-ministr-eek-362135-2019/"/>
    <hyperlink ref="E77" r:id="rId73" display="https://belta.by/economics/view/sovet-eek-ustanovil-normu-dlja-besposhlinnyh-pokupok-na-inostrannyh-marketplejsah-na-kakuju-summu-758455-2026/"/>
    <hyperlink ref="E78" r:id="rId74" display="https://belta.by/economics/view/v-belarusi-s-29-aprelja-menjajutsja-stavki-utilizatsionnogo-sbora-777593-2026/"/>
    <hyperlink ref="E79" r:id="rId75" display="https://belta.by/society/view/kvota-po-besposhlinnomu-vvozu-fizlitsami-elektromobilej-ischerpana-gtk-799565-2026/"/>
    <hyperlink ref="E80" r:id="rId76" display="https://belta.by/society/view/gtk-kvota-po-besposhlinnomu-vvozu-jurlitsami-elektromobilej-ischerpana-792788-2026/"/>
    <hyperlink ref="E81" r:id="rId77" display="https://belta.by/society/view/s-2026-goda-vse-po-novomu-tamozhnja-i-nds-na-skolko-podorozhajut-gibridy-reev-pri-vvoze-fizlitsami-755694-2025/"/>
    <hyperlink ref="E82" r:id="rId78" display="https://belta.by/economics/view/v-belarusi-snizhajutsja-eksportnye-poshliny-na-szhizhennye-uglevodorodnye-gazy-785561-2026/"/>
    <hyperlink ref="E83" r:id="rId79" display="https://belta.by/society/view/belarus-prodlila-zapret-na-vvoz-otdelnyh-tovarov-iz-nedruzhestvennyh-stran-do-kontsa-2027-goda-756905-2025/"/>
    <hyperlink ref="E84" r:id="rId80" display="https://belta.by/politics/view/stali-izvestny-podrobnosti-o-merah-belarusi-v-otvet-na-sanktsii-zapada-473625-2021/"/>
    <hyperlink ref="E85" r:id="rId81" display="https://www.belta.by/society/view/belarus-vvela-otvetnye-mery-na-nedruzhestvennye-dejstvija-litvy-po-zakrytiju-punktov-propuska-621423-2024"/>
    <hyperlink ref="E86" r:id="rId82" display="https://eng.belta.by/economics/view/eaeu-uae-economic-partnership-agreement-to-enter-into-force-on-6-october-184247-2026/"/>
    <hyperlink ref="E87" r:id="rId83" display="https://belta.by/economics/view/snizhenie-poshlin-na-90-tovarooborota-vremennoe-torgovoe-soglashenie-mezhdu-eaes-i-mongoliej-vstupilo-792377-2026/"/>
    <hyperlink ref="E88" r:id="rId84" display="https://belta.by/president/view/belarus-ratifitsirovala-soglashenie-o-svobodnoj-torgovle-mezhdu-eaes-i-indoneziej-781973-2026/"/>
    <hyperlink ref="E89" r:id="rId85" display="https://belta.by/economics/view/soglashenie-o-svobodnoj-torgovle-mezhdu-eaes-i-indoneziej-mozhet-vstupit-v-silu-do-kontsa-2026-goda-801437-2026/"/>
    <hyperlink ref="E90" r:id="rId86" display="https://belta.by/economics/view/eek-obnulila-vvoznuju-tamozhennuju-poshlinu-na-margantsevye-rudy-i-kontsentraty-795497-2026"/>
    <hyperlink ref="E91" r:id="rId87" display="https://belta.by/economics/view/eek-ustanovila-nulevuju-poshlinu-na-vvoz-v-eaes-othodov-i-loma-titana-795500-2026/"/>
    <hyperlink ref="E92" r:id="rId88" display="https://belta.by/economics/view/eek-obnulila-vvoznuju-poshlinu-na-ferrosplav-dlja-metallurgii-759978-2026/"/>
    <hyperlink ref="E93" r:id="rId89" display="https://belta.by/economics/view/sovet-eek-vremenno-obnulil-poshliny-na-vvoz-v-eaes-na-sulfidy-natrija-i-efiry-tselljulozy-729643-2025/"/>
    <hyperlink ref="E94" r:id="rId90" display="https://belta.by/economics/view/v-belarusi-rasshiren-perechen-tehnologicheskogo-oborudovanija-osvobozhdaemogo-ot-vvoznogo-nds-763058-2026/"/>
    <hyperlink ref="E95" r:id="rId91" display="https://belta.by/economics/view/eek-prodlila-na-5-let-poshlinu-na-vvoz-v-eaes-iz-kitaja-listovyh-ressor-797678-2026/"/>
    <hyperlink ref="E96" r:id="rId92" display="https://belta.by/society/view/prodleno-dejstvie-antidempingovoj-poshliny-na-vvoz-v-eaes-kitajskih-listovyh-ressor-764922-2026/"/>
    <hyperlink ref="E97" r:id="rId93" display="https://belta.by/economics/view/eek-prodlila-na-pjat-let-antidempingovuju-poshlinu-na-kitajskie-nerzhavejuschie-truby-799973-2026"/>
    <hyperlink ref="E98" r:id="rId94" display="https://belta.by/economics/view/eek-vremenno-priostanovila-antidempingovuju-meru-v-otnoshenii-dioksida-titana-iz-knr-802031-2026/"/>
    <hyperlink ref="E99" r:id="rId95" display="https://belta.by/economics/view/eek-utverdila-parametry-antidempingovoj-mery-v-otnoshenii-grafitirovannyh-elektrodov-iz-knr-754405-2025/"/>
    <hyperlink ref="E100" r:id="rId96" display="https://belta.by/society/view/antidempingovaja-poshlina-na-kolesnye-diski-iz-japonii-tailanda-turtsii-i-malajzii-vvoditsja-v-eaes-688687-2025/"/>
    <hyperlink ref="E101" r:id="rId97" display="https://eng.belta.by/politics/view/eus-decision-to-increase-tariffs-on-belarusian-goods-described-as-blatant-trade-protectionism-168282-2025"/>
    <hyperlink ref="E102" r:id="rId98" display="https://eng.belta.by/politics/view/bread-is-life-as-middle-east-war-triggers-fertilizer-race-eu-looks-toward-belarus-178077-2026/"/>
    <hyperlink ref="E103" r:id="rId99" display="https://belta.by/economics/view/ssha-snimajut-sanktsii-s-dvuh-belorusskih-bankov-i-minfina-okonchatelno-reshen-vopros-po-kaliju-770657-2026/"/>
    <hyperlink ref="E104" r:id="rId100" display="https://belta.by/economics/view/koul-ssha-snimajut-sanktsii-s-belorusskogo-kalija-754015-2025/"/>
    <hyperlink ref="E105" r:id="rId101" display="https://belta.by/president/view/ssha-snjali-sanktsii-s-belavia-736730-2025/"/>
    <hyperlink ref="E106" r:id="rId102" display="https://eng.belta.by/politics/view/fm-russia-china-and-the-uae-are-belarus-top-three-trading-partners-166165-2025/"/>
    <hyperlink ref="E107" r:id="rId103" display="https://china.mfa.gov.by/ru/bilateral/trade/"/>
    <hyperlink ref="E108" r:id="rId104" display="https://uzbekistan.mfa.gov.by/ru/exportby/tarif/"/>
    <hyperlink ref="E109" r:id="rId105" display="https://industrialpark.by/investoram/preimushchestva-parka/"/>
    <hyperlink ref="E110" r:id="rId106" display="https://www.wto.org/english/res_e/statis_e/daily_update_e/tariff_profiles/RU_E.pdf"/>
    <hyperlink ref="E111" r:id="rId107" display="https://www.wto.org/english/res_e/booksp_e/world_tariff_profiles25_e.pdf"/>
    <hyperlink ref="E112" r:id="rId108" display="https://www.wto.org/english/thewto_e/acc_e/a1_belarus_e.htm"/>
    <hyperlink ref="E113" r:id="rId109" display="https://www.international.gc.ca/world-monde/international_relations-relations_internationales/wto-omc/news-nouvelles/2022-03-28-statement-belarus-declaration.aspx?lang=eng"/>
    <hyperlink ref="E114" r:id="rId110" display="https://wits.worldbank.org/CountryProfile/en/Country/RUS/Year/2024/Summarytext"/>
    <hyperlink ref="E115" r:id="rId111" display="https://trade.ec.europa.eu/access-to-markets/en/news/eu-increases-tariff-duties-russian-and-belarusian-imports-agricultural-products-and-fertilizers"/>
    <hyperlink ref="E116" r:id="rId112" display="https://www.consilium.europa.eu/en/press/press-releases/2025/06/12/trade-eu-adopts-new-tariffs-on-russian-and-belarusian-agricultural-goods-and-fertilisers/"/>
    <hyperlink ref="E117" r:id="rId113" display="https://www.congress.gov/bill/117th-congress/house-bill/7108"/>
    <hyperlink ref="E118" r:id="rId114" display="https://www.loc.gov/item/global-legal-monitor/2022-04-22/united-states-legislation-enacted-suspending-permanent-and-normal-trade-relations-with-russian-federation-and-belarus/"/>
    <hyperlink ref="E119" r:id="rId115" display="https://interfax.com/newsroom/top-stories/99871/"/>
    <hyperlink ref="E120" r:id="rId116" display="https://bti-project.org/en/reports/country-report/BLR"/>
    <hyperlink ref="E121" r:id="rId117" display="https://www.lexology.com/library/detail.aspx?g=7128b051-393f-4a47-a0ac-a9edeb104838"/>
    <hyperlink ref="E122" r:id="rId118" display="https://www.anderinger.com/russia-belarus-lose-normal-trade-relation-status-with-the-u-s/"/>
    <hyperlink ref="E123" r:id="rId119" display="https://www.alta.ru/tnved/"/>
    <hyperlink ref="E124" r:id="rId120" display="https://www.tks.ru/db/tnved/tree/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2026-09-30T03:22:56Z</dcterms:created>
  <dc:creator>openpyxl</dc:creator>
  <dc:description/>
  <dc:language>en-US</dc:language>
  <cp:lastModifiedBy/>
  <dcterms:modified xsi:type="dcterms:W3CDTF">2026-09-30T03:22:57Z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